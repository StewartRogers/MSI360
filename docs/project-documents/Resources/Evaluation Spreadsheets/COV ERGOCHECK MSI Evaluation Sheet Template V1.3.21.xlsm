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GW19882\OneDrive - WorkSafeBC\Documents\ERGOCHECK\ERGOCHECK EVALUATION Version 1 3 21\"/>
    </mc:Choice>
  </mc:AlternateContent>
  <bookViews>
    <workbookView xWindow="0" yWindow="0" windowWidth="19200" windowHeight="7056" tabRatio="825"/>
  </bookViews>
  <sheets>
    <sheet name="Answer Sheet" sheetId="1" r:id="rId1"/>
    <sheet name="Matrix - Part 1" sheetId="13" state="hidden" r:id="rId2"/>
    <sheet name="ErgoCheck Report" sheetId="14" r:id="rId3"/>
    <sheet name="Supervisor Report" sheetId="18" r:id="rId4"/>
    <sheet name="Supervisor Report Logic" sheetId="17" state="hidden" r:id="rId5"/>
    <sheet name="Matrix - Part 2" sheetId="2" state="hidden" r:id="rId6"/>
    <sheet name="Sheet1" sheetId="16" state="hidden" r:id="rId7"/>
    <sheet name="OMR Report - Part 2" sheetId="7" state="hidden" r:id="rId8"/>
    <sheet name="Report - Part 2" sheetId="4" state="hidden" r:id="rId9"/>
    <sheet name="Matrix - Part 3" sheetId="5" state="hidden" r:id="rId10"/>
    <sheet name="Report - Part 3" sheetId="6" state="hidden" r:id="rId11"/>
    <sheet name="OMR Report - Part 3" sheetId="8" state="hidden" r:id="rId12"/>
    <sheet name="Matrix - Part 4" sheetId="9" state="hidden" r:id="rId13"/>
    <sheet name="OMR Report - Part 4" sheetId="10" state="hidden" r:id="rId14"/>
    <sheet name="Matrix - Part 5" sheetId="11" state="hidden" r:id="rId15"/>
    <sheet name="Matrix - Part 6" sheetId="15" state="hidden" r:id="rId16"/>
    <sheet name="OMR Report - Part 5" sheetId="12" state="hidden" r:id="rId17"/>
    <sheet name="Report" sheetId="3" state="hidden" r:id="rId18"/>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71" i="18" l="1"/>
  <c r="D69" i="18"/>
  <c r="D61" i="18"/>
  <c r="D55" i="18"/>
  <c r="D46" i="18"/>
  <c r="D38" i="18"/>
  <c r="D35" i="18"/>
  <c r="D29" i="18" l="1"/>
  <c r="D40" i="18" l="1"/>
  <c r="D42" i="18"/>
  <c r="I18" i="9" l="1"/>
  <c r="B10" i="17" s="1"/>
  <c r="D65" i="18" s="1"/>
  <c r="C27" i="17"/>
  <c r="D18" i="18"/>
  <c r="D15" i="18"/>
  <c r="D12" i="18"/>
  <c r="D10" i="18"/>
  <c r="I27" i="15"/>
  <c r="D39" i="18" l="1"/>
  <c r="I5" i="2"/>
  <c r="B2" i="17" s="1"/>
  <c r="B6" i="17"/>
  <c r="I20" i="5"/>
  <c r="B7" i="17" s="1"/>
  <c r="I11" i="5"/>
  <c r="I8" i="5"/>
  <c r="D60" i="18" l="1"/>
  <c r="D34" i="18"/>
  <c r="A21" i="17"/>
  <c r="B5" i="17"/>
  <c r="B77" i="14"/>
  <c r="I12" i="18" s="1"/>
  <c r="I23" i="2"/>
  <c r="B4" i="17" s="1"/>
  <c r="D31" i="18" s="1"/>
  <c r="I10" i="2"/>
  <c r="B44" i="14" l="1"/>
  <c r="I10" i="18" s="1"/>
  <c r="B3" i="17"/>
  <c r="D57" i="18"/>
  <c r="D33" i="18"/>
  <c r="D59" i="18"/>
  <c r="C21" i="17"/>
  <c r="D21" i="17" s="1"/>
  <c r="A20" i="17"/>
  <c r="C20" i="17"/>
  <c r="D20" i="17" s="1"/>
  <c r="E2" i="13"/>
  <c r="D56" i="18" l="1"/>
  <c r="D30" i="18"/>
  <c r="I19" i="2"/>
  <c r="I18" i="2"/>
  <c r="I17" i="2"/>
  <c r="I16" i="2"/>
  <c r="I16" i="5" l="1"/>
  <c r="F77" i="14" s="1"/>
  <c r="I5" i="5" l="1"/>
  <c r="I4" i="5"/>
  <c r="A31" i="14" l="1"/>
  <c r="H1" i="14"/>
  <c r="I15" i="15" l="1"/>
  <c r="I12" i="15"/>
  <c r="I8" i="15"/>
  <c r="J176" i="14" s="1"/>
  <c r="I5" i="15"/>
  <c r="D18" i="13" l="1"/>
  <c r="A18" i="13"/>
  <c r="B18" i="13"/>
  <c r="F176" i="14"/>
  <c r="C18" i="13"/>
  <c r="B176" i="14"/>
  <c r="I26" i="15"/>
  <c r="I25" i="15"/>
  <c r="B171" i="14" l="1"/>
  <c r="E171" i="14" s="1"/>
  <c r="B5" i="14"/>
  <c r="B18" i="14" l="1"/>
  <c r="I38" i="11"/>
  <c r="I33" i="11"/>
  <c r="B16" i="17" s="1"/>
  <c r="D72" i="18" s="1"/>
  <c r="I29" i="11"/>
  <c r="I25" i="11"/>
  <c r="I19" i="11"/>
  <c r="I14" i="11"/>
  <c r="I9" i="11"/>
  <c r="I5" i="11"/>
  <c r="D49" i="17" l="1"/>
  <c r="B15" i="17"/>
  <c r="A23" i="17"/>
  <c r="B143" i="14"/>
  <c r="I18" i="18" s="1"/>
  <c r="F143" i="14"/>
  <c r="J143" i="14"/>
  <c r="C17" i="13"/>
  <c r="A17" i="13"/>
  <c r="B11" i="12"/>
  <c r="J11" i="12"/>
  <c r="F11" i="12"/>
  <c r="I47" i="11"/>
  <c r="I46" i="11"/>
  <c r="D17" i="13"/>
  <c r="B17" i="13"/>
  <c r="I44" i="9"/>
  <c r="I40" i="9"/>
  <c r="B14" i="17" s="1"/>
  <c r="I36" i="9"/>
  <c r="B13" i="17" s="1"/>
  <c r="D68" i="18" s="1"/>
  <c r="I34" i="9"/>
  <c r="I33" i="9"/>
  <c r="I32" i="9"/>
  <c r="B12" i="17" s="1"/>
  <c r="D41" i="18" l="1"/>
  <c r="D67" i="18"/>
  <c r="D43" i="18"/>
  <c r="D45" i="18"/>
  <c r="C23" i="17"/>
  <c r="D23" i="17" s="1"/>
  <c r="I48" i="11"/>
  <c r="I16" i="9"/>
  <c r="I14" i="9"/>
  <c r="I15" i="9"/>
  <c r="I13" i="9"/>
  <c r="B9" i="17" s="1"/>
  <c r="D64" i="18" l="1"/>
  <c r="I27" i="9"/>
  <c r="B11" i="17" s="1"/>
  <c r="B6" i="12"/>
  <c r="B138" i="14"/>
  <c r="E138" i="14"/>
  <c r="E6" i="12"/>
  <c r="I22" i="9"/>
  <c r="H23" i="9"/>
  <c r="I9" i="9"/>
  <c r="I7" i="9"/>
  <c r="I6" i="9"/>
  <c r="I5" i="9"/>
  <c r="D66" i="18" l="1"/>
  <c r="B8" i="17"/>
  <c r="D63" i="18" s="1"/>
  <c r="A22" i="17"/>
  <c r="B110" i="14"/>
  <c r="I15" i="18" s="1"/>
  <c r="J110" i="14"/>
  <c r="F110" i="14"/>
  <c r="B11" i="10"/>
  <c r="B16" i="13"/>
  <c r="D16" i="13"/>
  <c r="C16" i="13"/>
  <c r="I56" i="9"/>
  <c r="A16" i="13"/>
  <c r="I55" i="9"/>
  <c r="J11" i="10"/>
  <c r="F11" i="10"/>
  <c r="F44" i="14"/>
  <c r="D37" i="18" l="1"/>
  <c r="C22" i="17"/>
  <c r="I57" i="9"/>
  <c r="J77" i="14"/>
  <c r="J44" i="14"/>
  <c r="I25" i="5"/>
  <c r="A15" i="13"/>
  <c r="B15" i="13"/>
  <c r="C15" i="13"/>
  <c r="D15" i="13"/>
  <c r="B11" i="7"/>
  <c r="B12" i="8"/>
  <c r="D25" i="6"/>
  <c r="I24" i="5"/>
  <c r="D17" i="6"/>
  <c r="F11" i="7"/>
  <c r="F12" i="8"/>
  <c r="J11" i="7"/>
  <c r="J12" i="8"/>
  <c r="D17" i="4"/>
  <c r="D9" i="4"/>
  <c r="D9" i="6"/>
  <c r="B11" i="3"/>
  <c r="D14" i="13"/>
  <c r="D22" i="17" l="1"/>
  <c r="D24" i="17" s="1"/>
  <c r="B7" i="18" s="1"/>
  <c r="I26" i="5"/>
  <c r="D19" i="13"/>
  <c r="C14" i="13"/>
  <c r="I27" i="2"/>
  <c r="B14" i="13"/>
  <c r="A14" i="13"/>
  <c r="A19" i="13" s="1"/>
  <c r="D25" i="4"/>
  <c r="I26" i="2"/>
  <c r="I28" i="2" l="1"/>
  <c r="B39" i="14" s="1"/>
  <c r="E39" i="14" s="1"/>
  <c r="B19" i="13"/>
  <c r="I13" i="14" s="1"/>
  <c r="C19" i="13"/>
  <c r="I14" i="14" s="1"/>
  <c r="I12" i="14"/>
  <c r="E19" i="13" l="1"/>
  <c r="B10" i="14" s="1"/>
  <c r="B6" i="7"/>
  <c r="E6" i="7" s="1"/>
  <c r="C5" i="6"/>
  <c r="C7" i="6" s="1"/>
  <c r="C5" i="4"/>
  <c r="C7" i="4" s="1"/>
  <c r="B72" i="14"/>
  <c r="E72" i="14" s="1"/>
  <c r="B6" i="10" l="1"/>
  <c r="E6" i="10" s="1"/>
  <c r="B105" i="14"/>
  <c r="E105" i="14" s="1"/>
  <c r="B7" i="3"/>
  <c r="B7" i="8"/>
  <c r="E7" i="8" s="1"/>
  <c r="A22" i="13"/>
</calcChain>
</file>

<file path=xl/sharedStrings.xml><?xml version="1.0" encoding="utf-8"?>
<sst xmlns="http://schemas.openxmlformats.org/spreadsheetml/2006/main" count="983" uniqueCount="529">
  <si>
    <t>Q1</t>
  </si>
  <si>
    <t>Q7</t>
  </si>
  <si>
    <t>Part One</t>
  </si>
  <si>
    <t>Q2</t>
  </si>
  <si>
    <t>Q3</t>
  </si>
  <si>
    <t>Q4</t>
  </si>
  <si>
    <t>Q5</t>
  </si>
  <si>
    <t>Q6</t>
  </si>
  <si>
    <t>Part Two</t>
  </si>
  <si>
    <t>Part Three</t>
  </si>
  <si>
    <t>Part Four</t>
  </si>
  <si>
    <t>Part Five</t>
  </si>
  <si>
    <t>Part Six</t>
  </si>
  <si>
    <t>Q8</t>
  </si>
  <si>
    <t>Q9</t>
  </si>
  <si>
    <t>Q10</t>
  </si>
  <si>
    <t>Q11</t>
  </si>
  <si>
    <t>Q12</t>
  </si>
  <si>
    <t>Q13</t>
  </si>
  <si>
    <t>Q23</t>
  </si>
  <si>
    <t>Q33</t>
  </si>
  <si>
    <t>Q14</t>
  </si>
  <si>
    <t>Q15</t>
  </si>
  <si>
    <t>Q16</t>
  </si>
  <si>
    <t>Q17</t>
  </si>
  <si>
    <t>Q18</t>
  </si>
  <si>
    <t>Q19</t>
  </si>
  <si>
    <t>Q20</t>
  </si>
  <si>
    <t>Q21</t>
  </si>
  <si>
    <t>Q22</t>
  </si>
  <si>
    <t>Q24</t>
  </si>
  <si>
    <t>Q25</t>
  </si>
  <si>
    <t>Q26</t>
  </si>
  <si>
    <t>Q27</t>
  </si>
  <si>
    <t>Q28</t>
  </si>
  <si>
    <t>Q29</t>
  </si>
  <si>
    <t>Q30</t>
  </si>
  <si>
    <t>Q31</t>
  </si>
  <si>
    <t>Q32</t>
  </si>
  <si>
    <t>Job Context</t>
  </si>
  <si>
    <t>Force</t>
  </si>
  <si>
    <t>Repetition</t>
  </si>
  <si>
    <t>Contact Stress</t>
  </si>
  <si>
    <t>4B</t>
  </si>
  <si>
    <t>Awkward Posture</t>
  </si>
  <si>
    <t>Environment</t>
  </si>
  <si>
    <t>5B</t>
  </si>
  <si>
    <t>6B</t>
  </si>
  <si>
    <t>6C</t>
  </si>
  <si>
    <t>7A</t>
  </si>
  <si>
    <t>Part 2, Question 4</t>
  </si>
  <si>
    <t>How much total time do you lean or rest on sharp objects or edges?</t>
  </si>
  <si>
    <t>Sometimes</t>
  </si>
  <si>
    <t>Not at risk</t>
  </si>
  <si>
    <t>Acceptable</t>
  </si>
  <si>
    <t>4A</t>
  </si>
  <si>
    <t>Occasionally</t>
  </si>
  <si>
    <t>Possible risk</t>
  </si>
  <si>
    <t>Some Discomfort</t>
  </si>
  <si>
    <t>Frequently</t>
  </si>
  <si>
    <t>Known Risk</t>
  </si>
  <si>
    <t>Pain and/or injury</t>
  </si>
  <si>
    <t>4C</t>
  </si>
  <si>
    <t>Part 2, Question 5</t>
  </si>
  <si>
    <t>For how many hours of your shift do you kneel on a hard or rough surface without personal protection such as kneepads, soft mat?</t>
  </si>
  <si>
    <t>Doesn’t apply to me</t>
  </si>
  <si>
    <t>5A</t>
  </si>
  <si>
    <t>Less than 30 mins</t>
  </si>
  <si>
    <t>Low Risk</t>
  </si>
  <si>
    <t>Negligible</t>
  </si>
  <si>
    <t>30 minutes - one hour</t>
  </si>
  <si>
    <t>Possible Risk</t>
  </si>
  <si>
    <t>5C</t>
  </si>
  <si>
    <t>More than one hour</t>
  </si>
  <si>
    <t>Discomfort and Possible Pain</t>
  </si>
  <si>
    <t>5D</t>
  </si>
  <si>
    <t>Part 2, Question 6</t>
  </si>
  <si>
    <t xml:space="preserve">When you use tools and/or objects for more than 30 minutes at a time, which of these statements apply. </t>
  </si>
  <si>
    <t>Neither</t>
  </si>
  <si>
    <t>6A</t>
  </si>
  <si>
    <t>Likely Risk</t>
  </si>
  <si>
    <t>Likely Discomfort</t>
  </si>
  <si>
    <t>Part 2, Question 7</t>
  </si>
  <si>
    <t>Do you repetitively use any body part as a make shift tool (e.g. using your palm or knee to apply force)?</t>
  </si>
  <si>
    <t>Yes, less than 1 hour</t>
  </si>
  <si>
    <t>7B</t>
  </si>
  <si>
    <t>Yes, more than 1 hour</t>
  </si>
  <si>
    <t>Pain and/or Injury</t>
  </si>
  <si>
    <t>7C</t>
  </si>
  <si>
    <t>OUTCOME</t>
  </si>
  <si>
    <t xml:space="preserve">Contact Stress Score </t>
  </si>
  <si>
    <t>OMR IS:</t>
  </si>
  <si>
    <t>EXAMPLE FORMATTING</t>
  </si>
  <si>
    <t>Contact Stress Risk Identification Tables</t>
  </si>
  <si>
    <t>Score</t>
  </si>
  <si>
    <t>Apply Statement</t>
  </si>
  <si>
    <t>Contact Stress Risk Priority Statements</t>
  </si>
  <si>
    <t xml:space="preserve">Identified Hazards </t>
  </si>
  <si>
    <t>Overall Musculoskeletal Rating</t>
  </si>
  <si>
    <t>Immediate Actions</t>
  </si>
  <si>
    <t>Actions</t>
  </si>
  <si>
    <t>Evaluation</t>
  </si>
  <si>
    <t>Currently low risk associated with contact stress.</t>
  </si>
  <si>
    <t>Possible risk of discomfort from contact stress.</t>
  </si>
  <si>
    <t xml:space="preserve">Likely risk of discomfort from contact stress. </t>
  </si>
  <si>
    <t>Known risk of pain and/or injury.</t>
  </si>
  <si>
    <t>(OMR)</t>
  </si>
  <si>
    <t>Select the type of surfaces you are required to push/pull or maneuver objects on during your work activities.</t>
  </si>
  <si>
    <t>Part 3, Question 8</t>
  </si>
  <si>
    <t>Soft (Sand, Mud, Grass)</t>
  </si>
  <si>
    <t>Rough (Gravel, Tile, Uneven)</t>
  </si>
  <si>
    <t>8A</t>
  </si>
  <si>
    <t>8B</t>
  </si>
  <si>
    <t>8C</t>
  </si>
  <si>
    <t>Possible Discomfort</t>
  </si>
  <si>
    <t>No</t>
  </si>
  <si>
    <t>Yes</t>
  </si>
  <si>
    <t>Low risk</t>
  </si>
  <si>
    <t>9A</t>
  </si>
  <si>
    <t>Part 3, Question 9</t>
  </si>
  <si>
    <t>Part 3, Question 10</t>
  </si>
  <si>
    <t xml:space="preserve">Doesn’t apply to me </t>
  </si>
  <si>
    <t>Light (Less than 5lbs)</t>
  </si>
  <si>
    <t xml:space="preserve">Moderate (5-18lbs)                          </t>
  </si>
  <si>
    <t>Heavy (More than 18lbs)</t>
  </si>
  <si>
    <t>10A</t>
  </si>
  <si>
    <t>10B</t>
  </si>
  <si>
    <t>9B</t>
  </si>
  <si>
    <t>10C</t>
  </si>
  <si>
    <t>10D</t>
  </si>
  <si>
    <t>Part 3, Question 11</t>
  </si>
  <si>
    <t>Doesn't Apply to Me</t>
  </si>
  <si>
    <t>11A</t>
  </si>
  <si>
    <t>11B</t>
  </si>
  <si>
    <t>11C</t>
  </si>
  <si>
    <t>Part 3, Question 12</t>
  </si>
  <si>
    <t>When pushing/pulling objects for which the standard operating procedure requires more than one person or a mechanical assistance, do you get the assistance required?</t>
  </si>
  <si>
    <t>12A</t>
  </si>
  <si>
    <t>12B</t>
  </si>
  <si>
    <t>12C</t>
  </si>
  <si>
    <t>12D</t>
  </si>
  <si>
    <t>Contact Stress Report</t>
  </si>
  <si>
    <t>Force Report</t>
  </si>
  <si>
    <t>Warning - Consider Actions</t>
  </si>
  <si>
    <t>Warning - Actions Required</t>
  </si>
  <si>
    <r>
      <t xml:space="preserve">Are you required to regularly push, pull or move heavy objects </t>
    </r>
    <r>
      <rPr>
        <b/>
        <sz val="11"/>
        <color theme="1"/>
        <rFont val="Calibri"/>
        <family val="2"/>
        <scheme val="minor"/>
      </rPr>
      <t>without using</t>
    </r>
    <r>
      <rPr>
        <sz val="11"/>
        <color theme="1"/>
        <rFont val="Calibri"/>
        <family val="2"/>
        <scheme val="minor"/>
      </rPr>
      <t xml:space="preserve"> a mechanical aid (e.g. wheelbarrow, dolly)?</t>
    </r>
  </si>
  <si>
    <t>\</t>
  </si>
  <si>
    <t xml:space="preserve">Is it hard to start tools or equipment and/or does it require a maintained forceful exertion to use (e.g. pulling on a cord or depressing a peddle)? </t>
  </si>
  <si>
    <t>Currently low risk associated with force.</t>
  </si>
  <si>
    <t>Likely risk of discomfort from force.</t>
  </si>
  <si>
    <t>Possible risk of discomfort from force.</t>
  </si>
  <si>
    <t>Currently low risk associated with awkward posture.</t>
  </si>
  <si>
    <t>Possible risk of discomfort from awkward posture.</t>
  </si>
  <si>
    <t>Likely risk of discomfort from awkward posture.</t>
  </si>
  <si>
    <t>During your work activities, which of these vertical upper body postures apply? Select all that apply.</t>
  </si>
  <si>
    <t xml:space="preserve">Neutral </t>
  </si>
  <si>
    <t>Leaning Forward/Backward (15°)</t>
  </si>
  <si>
    <t xml:space="preserve">Leaning Forward/Backward (Greater than 15°)  </t>
  </si>
  <si>
    <t>Leaning Sideways</t>
  </si>
  <si>
    <t>Part 4, Question 13</t>
  </si>
  <si>
    <t>13A</t>
  </si>
  <si>
    <t>13B</t>
  </si>
  <si>
    <t>13C</t>
  </si>
  <si>
    <t>13D</t>
  </si>
  <si>
    <t>Part 4, Question 14</t>
  </si>
  <si>
    <t>14A</t>
  </si>
  <si>
    <t>14B</t>
  </si>
  <si>
    <t>14C</t>
  </si>
  <si>
    <t xml:space="preserve">Pain and/or Injury </t>
  </si>
  <si>
    <t>When in those postures selected above, do you twist your upper body to either side without changing the position of your feet while sitting or standing?</t>
  </si>
  <si>
    <t>OMR (1-4)</t>
  </si>
  <si>
    <t>Notice</t>
  </si>
  <si>
    <t xml:space="preserve"> Overall Musculoskeletal Risk:
 Awkward Posture</t>
  </si>
  <si>
    <t xml:space="preserve"> Overall Musculoskeletal Risk:
 Force</t>
  </si>
  <si>
    <t>Overall Musculoskeletal Risk:
Contact Stress</t>
  </si>
  <si>
    <t xml:space="preserve">For administrative use only. Please enter the identification code associated with the response to the respective question on the survey administered. Provide the completed report to the Superintendent or Supervisor for further planning and consideration.  </t>
  </si>
  <si>
    <t>Further Evaluation Required</t>
  </si>
  <si>
    <t>Which of these work zones are your hands in when you perform your work activities? Select all that apply.</t>
  </si>
  <si>
    <t>Part 4, Question 15</t>
  </si>
  <si>
    <t>15A</t>
  </si>
  <si>
    <t>Not at Risk</t>
  </si>
  <si>
    <t>15B</t>
  </si>
  <si>
    <t>15C</t>
  </si>
  <si>
    <t>15D</t>
  </si>
  <si>
    <t>Part 4, Question 16</t>
  </si>
  <si>
    <t>16A</t>
  </si>
  <si>
    <t>16B</t>
  </si>
  <si>
    <t>Frequently Outstretched</t>
  </si>
  <si>
    <t xml:space="preserve">Occasionally Outstretched </t>
  </si>
  <si>
    <t>16C</t>
  </si>
  <si>
    <t>Floor to ankle and/or Above the head</t>
  </si>
  <si>
    <t>Calf to mid-thigh and/or Shoulder to head (Occasionally)</t>
  </si>
  <si>
    <t>Calf to mid-thigh and/or Shoulder to head (Prolonged)</t>
  </si>
  <si>
    <t>Part 4, Question 17</t>
  </si>
  <si>
    <t>Yes, less than 5lbs</t>
  </si>
  <si>
    <t>Yes, 5 - 10lbs</t>
  </si>
  <si>
    <t>Yes, more than 10lbs</t>
  </si>
  <si>
    <t>17A</t>
  </si>
  <si>
    <t>17B</t>
  </si>
  <si>
    <t>17C</t>
  </si>
  <si>
    <t>17D</t>
  </si>
  <si>
    <t>IF THE ABOVE IS FREQUENTLY, are you also holding a hand tool or moving an object?</t>
  </si>
  <si>
    <t>IF THE ABOVE IS OCCASIONALLY, are you also holding a hand tool or moving an object?</t>
  </si>
  <si>
    <t>Part 4, Question 18</t>
  </si>
  <si>
    <t xml:space="preserve">Neutral   </t>
  </si>
  <si>
    <t>18A</t>
  </si>
  <si>
    <t>18B</t>
  </si>
  <si>
    <t>18C</t>
  </si>
  <si>
    <t>Head pointed up/down less than 15</t>
  </si>
  <si>
    <t>Head pointed up/down or to the side more than 15</t>
  </si>
  <si>
    <t>Part 4, Question 19</t>
  </si>
  <si>
    <t xml:space="preserve">0 to +/-10°       </t>
  </si>
  <si>
    <t xml:space="preserve">10° to 30°       </t>
  </si>
  <si>
    <t>30°+</t>
  </si>
  <si>
    <t>19A</t>
  </si>
  <si>
    <t>19B</t>
  </si>
  <si>
    <t>19C</t>
  </si>
  <si>
    <t>During your work activities, what is your most frequent range of motion for your wrist (up/down)?</t>
  </si>
  <si>
    <t xml:space="preserve">Part 4, Question 20 </t>
  </si>
  <si>
    <t>During your work activities, what is your most frequent range of motion for your wrist (side to side)?</t>
  </si>
  <si>
    <t xml:space="preserve">10° to 20°              </t>
  </si>
  <si>
    <t>20°+</t>
  </si>
  <si>
    <t>20A</t>
  </si>
  <si>
    <t>20B</t>
  </si>
  <si>
    <t>20C</t>
  </si>
  <si>
    <t>Part 4, Question 21</t>
  </si>
  <si>
    <t>Do your work activities allow you to keep all objects close to your body when you handle, push, pull, lift, etc.?</t>
  </si>
  <si>
    <t>21A</t>
  </si>
  <si>
    <t>21B</t>
  </si>
  <si>
    <t>21C</t>
  </si>
  <si>
    <t>Awkward Posture Risk Identification Tables</t>
  </si>
  <si>
    <t>How much total time do you spend doing repetitive movements during your work activities?</t>
  </si>
  <si>
    <t>0-2 Hours</t>
  </si>
  <si>
    <t>2-4 Hours</t>
  </si>
  <si>
    <t>4+ Hours</t>
  </si>
  <si>
    <t>Part 5, Question 22</t>
  </si>
  <si>
    <t>22A</t>
  </si>
  <si>
    <t>22B</t>
  </si>
  <si>
    <t>22C</t>
  </si>
  <si>
    <t>22D</t>
  </si>
  <si>
    <t>Repetitive movements more than 4 hours.</t>
  </si>
  <si>
    <t>Repetition Risk Identification Tables</t>
  </si>
  <si>
    <t>Repetitive movements up to 4 hours.</t>
  </si>
  <si>
    <t>Part 5, Question 23</t>
  </si>
  <si>
    <t>What is the total time you move your wrist up and down more than 15 degrees?</t>
  </si>
  <si>
    <t>0-1 hour</t>
  </si>
  <si>
    <t xml:space="preserve">1-2 hours     </t>
  </si>
  <si>
    <t>2+ hours</t>
  </si>
  <si>
    <t>Not Risk</t>
  </si>
  <si>
    <t>23A</t>
  </si>
  <si>
    <t>23B</t>
  </si>
  <si>
    <t>23C</t>
  </si>
  <si>
    <t>23D</t>
  </si>
  <si>
    <t>Repetitive side to side movements of the wrist more than 2 hours.</t>
  </si>
  <si>
    <t>Repetitive up and down movements of the wrist more than 2 hours.</t>
  </si>
  <si>
    <t>Part 5, Question 24</t>
  </si>
  <si>
    <t>What is the total time you move your wrist side to side more than 15 degrees?</t>
  </si>
  <si>
    <t>24A</t>
  </si>
  <si>
    <t>24B</t>
  </si>
  <si>
    <t>24C</t>
  </si>
  <si>
    <t>24D</t>
  </si>
  <si>
    <t>Part 5, Question 25</t>
  </si>
  <si>
    <t>When you are handling tools, how often do you exert muscular force?</t>
  </si>
  <si>
    <t>Seldom (5-25 minutes)</t>
  </si>
  <si>
    <t>Occasionally (30 minutes – 2 ½ hours)</t>
  </si>
  <si>
    <t>Frequently (2 ½ hours – 5 ½ hours)</t>
  </si>
  <si>
    <t>Constantly (More than 5 ½ hours)</t>
  </si>
  <si>
    <t xml:space="preserve">Rarely (0-5 minutes) </t>
  </si>
  <si>
    <t>25A</t>
  </si>
  <si>
    <t>25B</t>
  </si>
  <si>
    <t>25C</t>
  </si>
  <si>
    <t>25D</t>
  </si>
  <si>
    <t>Discomfort or Possible Pain</t>
  </si>
  <si>
    <t>25E</t>
  </si>
  <si>
    <t>Repetitive exertion of muscular force when using tools up to 2.5 hours.</t>
  </si>
  <si>
    <t>Repetitive exertion of muscular force when using tools up to 5.5 hours.</t>
  </si>
  <si>
    <t>Repetitive exertion of muscular force when using tools more than 5.5 hours.</t>
  </si>
  <si>
    <t>Part 5, Question 26</t>
  </si>
  <si>
    <t>Doesn’t Apply to me</t>
  </si>
  <si>
    <t>2+ Hours</t>
  </si>
  <si>
    <t xml:space="preserve">Do you perform a pinch grip on a tool/object more than 2 lbs? </t>
  </si>
  <si>
    <t>26A</t>
  </si>
  <si>
    <t>26B</t>
  </si>
  <si>
    <t>26C</t>
  </si>
  <si>
    <t>Part 5, Question 27</t>
  </si>
  <si>
    <t xml:space="preserve">Do you perform a power grip on a tool/object more than 10 lbs? </t>
  </si>
  <si>
    <t>27A</t>
  </si>
  <si>
    <t>27B</t>
  </si>
  <si>
    <t>27C</t>
  </si>
  <si>
    <r>
      <t xml:space="preserve">Repetitive use of a </t>
    </r>
    <r>
      <rPr>
        <b/>
        <sz val="11"/>
        <color theme="1"/>
        <rFont val="Calibri"/>
        <family val="2"/>
        <scheme val="minor"/>
      </rPr>
      <t>power grip</t>
    </r>
    <r>
      <rPr>
        <sz val="11"/>
        <color theme="1"/>
        <rFont val="Calibri"/>
        <family val="2"/>
        <scheme val="minor"/>
      </rPr>
      <t xml:space="preserve"> when using a tool for up to 2 hours.</t>
    </r>
  </si>
  <si>
    <r>
      <t>Repetitive use of a</t>
    </r>
    <r>
      <rPr>
        <b/>
        <sz val="11"/>
        <color theme="1"/>
        <rFont val="Calibri"/>
        <family val="2"/>
        <scheme val="minor"/>
      </rPr>
      <t xml:space="preserve"> power grip</t>
    </r>
    <r>
      <rPr>
        <sz val="11"/>
        <color theme="1"/>
        <rFont val="Calibri"/>
        <family val="2"/>
        <scheme val="minor"/>
      </rPr>
      <t xml:space="preserve"> when using a tool for more than 2 hours.</t>
    </r>
  </si>
  <si>
    <r>
      <t xml:space="preserve">Repetitive use of a </t>
    </r>
    <r>
      <rPr>
        <b/>
        <sz val="11"/>
        <color theme="1"/>
        <rFont val="Calibri"/>
        <family val="2"/>
        <scheme val="minor"/>
      </rPr>
      <t>pinch grip</t>
    </r>
    <r>
      <rPr>
        <sz val="11"/>
        <color theme="1"/>
        <rFont val="Calibri"/>
        <family val="2"/>
        <scheme val="minor"/>
      </rPr>
      <t xml:space="preserve"> when using a tool for more than 2 hours.</t>
    </r>
  </si>
  <si>
    <r>
      <t xml:space="preserve">Repetitive use of a </t>
    </r>
    <r>
      <rPr>
        <b/>
        <sz val="11"/>
        <color theme="1"/>
        <rFont val="Calibri"/>
        <family val="2"/>
        <scheme val="minor"/>
      </rPr>
      <t>pinch grip</t>
    </r>
    <r>
      <rPr>
        <sz val="11"/>
        <color theme="1"/>
        <rFont val="Calibri"/>
        <family val="2"/>
        <scheme val="minor"/>
      </rPr>
      <t xml:space="preserve"> when using a tool for up to 2 hours.</t>
    </r>
  </si>
  <si>
    <t>Part 5, Question 28</t>
  </si>
  <si>
    <t>Yes, more than 4 hours</t>
  </si>
  <si>
    <t>28A</t>
  </si>
  <si>
    <t>28B</t>
  </si>
  <si>
    <t>28C</t>
  </si>
  <si>
    <t>Yes, 1 – 4 hours</t>
  </si>
  <si>
    <t>28D</t>
  </si>
  <si>
    <t>Exposed to vibration for up to 1 hour on a regular basis.</t>
  </si>
  <si>
    <t>Exposed to vibration for up to 4 hours on a regular basis.</t>
  </si>
  <si>
    <t>Exposed to vibration for more than 4 hours on a regular basis.</t>
  </si>
  <si>
    <t>Part 5, Question 29</t>
  </si>
  <si>
    <t>5 minutes or less</t>
  </si>
  <si>
    <t xml:space="preserve">5 minutes to 1 hour                       </t>
  </si>
  <si>
    <t>More than 1 hour</t>
  </si>
  <si>
    <t xml:space="preserve">Think of items/equipment/objects you push/pull/carry in the workplace that are heavy. For how long do you push or pull with a force of more than 80lbs OR carry items that weigh more than 80lbs over rough (gravel, tile, uneven) or soft (sand, mud, grass) surfaces on a regular basis? </t>
  </si>
  <si>
    <t>29A</t>
  </si>
  <si>
    <t>29B</t>
  </si>
  <si>
    <t>29C</t>
  </si>
  <si>
    <t>29D</t>
  </si>
  <si>
    <t>Exposed to a force of more than 80lbs while pushing, pulling or carrying over soft or rough surfaces for up to 1 hour.</t>
  </si>
  <si>
    <t>Exposed to a force of more than 80lbs while pushing, pulling or carrying over soft or rough surfaces for more than 1 hour.</t>
  </si>
  <si>
    <t>Overall Musculoskeletal Risk:
Repetition</t>
  </si>
  <si>
    <t xml:space="preserve">Job Context </t>
  </si>
  <si>
    <t>Which best describes the job duties you perform?</t>
  </si>
  <si>
    <t>Office or Clerical</t>
  </si>
  <si>
    <t>1A</t>
  </si>
  <si>
    <t>1B</t>
  </si>
  <si>
    <t>Part 1, Question 1</t>
  </si>
  <si>
    <t>How much control do you have over the organization of your work and/or input into the tools used in your job?</t>
  </si>
  <si>
    <t>Part 1, Question 3</t>
  </si>
  <si>
    <t>None</t>
  </si>
  <si>
    <t>Little</t>
  </si>
  <si>
    <t>Some</t>
  </si>
  <si>
    <t>A Lot</t>
  </si>
  <si>
    <t>3A</t>
  </si>
  <si>
    <t>3B</t>
  </si>
  <si>
    <t>3C</t>
  </si>
  <si>
    <t>3D</t>
  </si>
  <si>
    <t xml:space="preserve">When reviewing and considering actions from the results of this report, please note the respondee has indicated they have no control over the organization of their work or input into the tools used in their job. It Is critical that employees are involved in the corrective actions and design of their work. </t>
  </si>
  <si>
    <t xml:space="preserve">When reviewing and considering actions from the results of this report, please note the respondee has indicated they have little control over the organization of their work or input into the tools used in their job. It Is critical that employees are involved in the corrective actions and design of their work. </t>
  </si>
  <si>
    <t xml:space="preserve">When reviewing and considering actions from the results of this report, please note the respondee has indicated they have some control over the organization of their work or input into the tools used in their job. It Is important that employees are continually involved in the corrective actions and design of their work. </t>
  </si>
  <si>
    <t xml:space="preserve">When reviewing and considering actions from the results of this report, please note the respondee has indicated they have a lot control over the organization of their work or input into the tools used in their job.  It Is important that employees are continually involved in the corrective actions and design of their work. </t>
  </si>
  <si>
    <t>OMR = 4</t>
  </si>
  <si>
    <t>OMR = 3</t>
  </si>
  <si>
    <t>OMR = 2</t>
  </si>
  <si>
    <t>OMR = 1</t>
  </si>
  <si>
    <t>Force Identification Tables</t>
  </si>
  <si>
    <t xml:space="preserve">This report has been generated to inform departmental leadership of the unique and personal challenges an individual in Field Operations is exposed to. Ergonomic hazards associated with contact stress, force, awkward posture and repetition are prioritized based on the known level of risk. </t>
  </si>
  <si>
    <t xml:space="preserve">This report has been generated to inform departmental leadership of the unique and personal challenges an individual in an Office/Clerical environment is exposed to. Ergonomic hazards associated with contact stress, force, awkward posture and repetition are prioritized based on the known level of risk. </t>
  </si>
  <si>
    <t xml:space="preserve">Do you experience vibration when you are using tools/objects or whole body vibration when operating equipment in the workplace on a regular basis? </t>
  </si>
  <si>
    <t>During your work activities, is your head in any of the below positions more than occasionally? Select all that apply.</t>
  </si>
  <si>
    <t>Name:</t>
  </si>
  <si>
    <t>Occupation:</t>
  </si>
  <si>
    <t>Date:</t>
  </si>
  <si>
    <t>City of Vancouver</t>
  </si>
  <si>
    <t>Overall Musculoskeletal Risk:
Force</t>
  </si>
  <si>
    <t>Overall Musculoskeletal Risk:
Awkward Posture</t>
  </si>
  <si>
    <t>Currently low risk associated with repetition.</t>
  </si>
  <si>
    <t>Possible risk of discomfort from repetition.</t>
  </si>
  <si>
    <t>Likely risk of discomfort from repetition.</t>
  </si>
  <si>
    <t>Count of Known Risk - Need Risk Control Plan</t>
  </si>
  <si>
    <t>Count of Likely Risk - Consider Interventions</t>
  </si>
  <si>
    <t>Count of Possible Risk - Further Evaluation Required</t>
  </si>
  <si>
    <t>Overall Musculoskeletal Risk:
Environmental Factors</t>
  </si>
  <si>
    <t>Part 6, Question 30</t>
  </si>
  <si>
    <t>Part 6, Question 31</t>
  </si>
  <si>
    <t>Part 6, Question 32</t>
  </si>
  <si>
    <t>Part 6, Question 33</t>
  </si>
  <si>
    <t>Considering your background/external environment, are you distracted by noise (e.g. sirens, loud voices, traffic)?</t>
  </si>
  <si>
    <t>Yes, Somewhat</t>
  </si>
  <si>
    <t>Yes, A Lot</t>
  </si>
  <si>
    <t>30A</t>
  </si>
  <si>
    <t>30B</t>
  </si>
  <si>
    <t>30C</t>
  </si>
  <si>
    <t>Discomfort and Possible Risk</t>
  </si>
  <si>
    <t>Unexpected or background noise can distract workers and create additional stress.</t>
  </si>
  <si>
    <t>Constant background or loud noise can distract workers and create additional stress.</t>
  </si>
  <si>
    <t>Considering your work activities, are you affected by glare (e.g. sun in the eyes, sun bouncing of an object into your eyes)?</t>
  </si>
  <si>
    <t>31A</t>
  </si>
  <si>
    <t>31B</t>
  </si>
  <si>
    <t>31C</t>
  </si>
  <si>
    <t xml:space="preserve">Constantly exposed to glare. </t>
  </si>
  <si>
    <t xml:space="preserve">Exposed to glare on an irregular basis. </t>
  </si>
  <si>
    <t>32A</t>
  </si>
  <si>
    <t>32B</t>
  </si>
  <si>
    <t>Considering your work activities are you able to easily see fine details if it is required for you to perform your job?</t>
  </si>
  <si>
    <t>Viewing fine details creates visual fatigue.</t>
  </si>
  <si>
    <t>If you are working in a cool/cold environment, do you feel discomfort in your extremities and/or back?</t>
  </si>
  <si>
    <t>33A</t>
  </si>
  <si>
    <t>33B</t>
  </si>
  <si>
    <t>Exposure to cool/cold environments creates discomfort.</t>
  </si>
  <si>
    <t>Currently low risk associated with environmental factors.</t>
  </si>
  <si>
    <t>Possible risk of discomfort from environmental factors.</t>
  </si>
  <si>
    <t>Likely risk of discomfort from environmental factors.</t>
  </si>
  <si>
    <t xml:space="preserve">Equipment sometimes requires a forceful exertion to start. </t>
  </si>
  <si>
    <t xml:space="preserve">What is the distance of your hands from your body when seated or standing? </t>
  </si>
  <si>
    <t xml:space="preserve">Determine which edge(s) in the workplace are creating this problem and implement a solution. </t>
  </si>
  <si>
    <t xml:space="preserve">Determine which edge(s) in the workplace are creating this problem and identify interventions to eliminate discomfort and/or injury. </t>
  </si>
  <si>
    <t xml:space="preserve"> Provide personal protection, or identify interventions to eliminate or minimize discomfort. </t>
  </si>
  <si>
    <t>Prolonged kneeling on hard/rough surfaces.</t>
  </si>
  <si>
    <t xml:space="preserve"> Provide personal protection, or identify interventions to eliminate pain and discomfort. </t>
  </si>
  <si>
    <t>Occasional kneeling on hard/rough surfaces.</t>
  </si>
  <si>
    <t xml:space="preserve">Examine tools/objects in the workplace to determine which of them create contact stress for the worker. </t>
  </si>
  <si>
    <t xml:space="preserve">Reduce the use of the tool/object and determine an appropriate substitute. </t>
  </si>
  <si>
    <t xml:space="preserve">Discomfort reported while using tools/objects. </t>
  </si>
  <si>
    <t xml:space="preserve">Determine which tool(s) the worker requires to eliminate the use of their body parts. </t>
  </si>
  <si>
    <t>Body parts frequently used as a make-shift tool.</t>
  </si>
  <si>
    <t>Body parts occassionally used as a make-shift tool.</t>
  </si>
  <si>
    <t xml:space="preserve">Identify a suitable tool for performing the job function. </t>
  </si>
  <si>
    <t>Pushing/pulling objects on soft/rough surfaces.</t>
  </si>
  <si>
    <t xml:space="preserve">Determine the frequency this occurs and consider changes If possible. </t>
  </si>
  <si>
    <t>Pushing/pulling heavy objects without the use of appropriate mechanical assistance(s).</t>
  </si>
  <si>
    <t>Determine if the tool weight can be reduced or substituted and consider changes if possible.</t>
  </si>
  <si>
    <t xml:space="preserve">Determine if mechanical assistance is appropriate, or if administrative are required. </t>
  </si>
  <si>
    <t xml:space="preserve">Determine if the weight of the tool can be reduced, or the tool can be substituted. </t>
  </si>
  <si>
    <t>Discomfort and possible pain from lifting, carrying and/or supporting tools that weigh +18lbs.</t>
  </si>
  <si>
    <t>Possible discomfort from lifting, carrying and/or supporting tools that weigh 5-18lbs.</t>
  </si>
  <si>
    <t xml:space="preserve">Equipment frequently requires a forceful exertion to start. </t>
  </si>
  <si>
    <t xml:space="preserve">Review the procedure and ensure resources are available where required. </t>
  </si>
  <si>
    <t xml:space="preserve">Ensure that the required resources are available and employees are trained and educated on the procedure. </t>
  </si>
  <si>
    <t>Occasionally assistance from a second person/mechanical device is not used.</t>
  </si>
  <si>
    <t>Assistance from a second person/mechanical device is not used.</t>
  </si>
  <si>
    <t>Evaluate adjusting the workstation and/or tools used by the employee.</t>
  </si>
  <si>
    <r>
      <t xml:space="preserve">Possible discomfort from leaning forward or backward </t>
    </r>
    <r>
      <rPr>
        <b/>
        <sz val="11"/>
        <color theme="1"/>
        <rFont val="Calibri"/>
        <family val="2"/>
        <scheme val="minor"/>
      </rPr>
      <t>up to 15 degrees</t>
    </r>
    <r>
      <rPr>
        <sz val="11"/>
        <color theme="1"/>
        <rFont val="Calibri"/>
        <family val="2"/>
        <scheme val="minor"/>
      </rPr>
      <t xml:space="preserve">. </t>
    </r>
  </si>
  <si>
    <r>
      <t xml:space="preserve">Likely discomfort from leaning forward or backwards </t>
    </r>
    <r>
      <rPr>
        <b/>
        <sz val="11"/>
        <color theme="1"/>
        <rFont val="Calibri"/>
        <family val="2"/>
        <scheme val="minor"/>
      </rPr>
      <t>greater than 15 degrees</t>
    </r>
    <r>
      <rPr>
        <sz val="11"/>
        <color theme="1"/>
        <rFont val="Calibri"/>
        <family val="2"/>
        <scheme val="minor"/>
      </rPr>
      <t xml:space="preserve">. </t>
    </r>
  </si>
  <si>
    <r>
      <t xml:space="preserve">Likely discomfort from </t>
    </r>
    <r>
      <rPr>
        <b/>
        <sz val="11"/>
        <color theme="1"/>
        <rFont val="Calibri"/>
        <family val="2"/>
        <scheme val="minor"/>
      </rPr>
      <t>leaning sideways</t>
    </r>
    <r>
      <rPr>
        <sz val="11"/>
        <color theme="1"/>
        <rFont val="Calibri"/>
        <family val="2"/>
        <scheme val="minor"/>
      </rPr>
      <t xml:space="preserve">. </t>
    </r>
  </si>
  <si>
    <t xml:space="preserve">Possible discomfort from twisting the upper body. </t>
  </si>
  <si>
    <t>Continuous twisting of the upper body.</t>
  </si>
  <si>
    <t>Poor body posture from working at/near ground level or above the head.</t>
  </si>
  <si>
    <t>Occasional poor body posture from working near knee level or above the shoulder.</t>
  </si>
  <si>
    <t xml:space="preserve">Prolonged poor body posture from working near knee level or above the shoulder. </t>
  </si>
  <si>
    <t xml:space="preserve">Possible discomfort from arms occasionally being outstretched. </t>
  </si>
  <si>
    <t xml:space="preserve">Likely discomfort from arms frequently being outstretched. </t>
  </si>
  <si>
    <t>Evaluate reducing the weight or changing the job task.</t>
  </si>
  <si>
    <t xml:space="preserve">Possible discomfort from supporting 5-10lbs of weight while arms occasionally outstretched. </t>
  </si>
  <si>
    <t>Likely discomfort from supporting more than 10lbs of weight while arms occasionally outstretched.</t>
  </si>
  <si>
    <t>Consider changing the workstation/job design.</t>
  </si>
  <si>
    <t xml:space="preserve">Known risk from supporting more than 10lbs while arms frequently outstretched. </t>
  </si>
  <si>
    <t>Discomfort from supporting a weight between 5-10lbs while arms frequently outstretched.</t>
  </si>
  <si>
    <t xml:space="preserve">Possible disomcomfort from supporting a weight up to 5lbs while arms frequently outstretched. </t>
  </si>
  <si>
    <t>Head position is not maintained in a neutral position.</t>
  </si>
  <si>
    <t>Poor head position from looking up/down or to the side.</t>
  </si>
  <si>
    <t xml:space="preserve">Wrist posture (up/down) at the limit of the recommended range of motion. </t>
  </si>
  <si>
    <t xml:space="preserve">Wrist posture (side to side) at the limit of the recommended range of motion. </t>
  </si>
  <si>
    <t>Known risk from extreme wrist posture (side to side).</t>
  </si>
  <si>
    <t xml:space="preserve">Possible discomfort from objects sometimes being handled away from the body. </t>
  </si>
  <si>
    <t>Likely discomfort from objects being handled away from the body.</t>
  </si>
  <si>
    <r>
      <rPr>
        <b/>
        <i/>
        <sz val="9"/>
        <color theme="1"/>
        <rFont val="Calibri"/>
        <family val="2"/>
        <scheme val="minor"/>
      </rPr>
      <t>TIP</t>
    </r>
    <r>
      <rPr>
        <i/>
        <sz val="9"/>
        <color theme="1"/>
        <rFont val="Calibri"/>
        <family val="2"/>
        <scheme val="minor"/>
      </rPr>
      <t>: Determine which tools or edges in the workplace are the cause of contact stress. Remedial actions for contract stress can range from replacement to the reduction of use/contact of the tool/edge.</t>
    </r>
  </si>
  <si>
    <r>
      <rPr>
        <b/>
        <i/>
        <sz val="9"/>
        <color theme="1"/>
        <rFont val="Calibri"/>
        <family val="2"/>
        <scheme val="minor"/>
      </rPr>
      <t>TIP</t>
    </r>
    <r>
      <rPr>
        <i/>
        <sz val="9"/>
        <color theme="1"/>
        <rFont val="Calibri"/>
        <family val="2"/>
        <scheme val="minor"/>
      </rPr>
      <t>: Determine which tasks in the workplace result in forceful exertions. Interventions for force can range from substitution to lighter items/products to administrative changes to facilitate the use of assistance/mechanical assists.</t>
    </r>
  </si>
  <si>
    <t xml:space="preserve">Note: It is recommended to address risks in order of their severity. </t>
  </si>
  <si>
    <t xml:space="preserve">Consider modifying the work station or job task to encourage a body neutral position. </t>
  </si>
  <si>
    <t xml:space="preserve">Evaluate modifying the work station or job task to encourage a body neutral position. </t>
  </si>
  <si>
    <r>
      <rPr>
        <b/>
        <i/>
        <sz val="9"/>
        <color theme="1"/>
        <rFont val="Calibri"/>
        <family val="2"/>
        <scheme val="minor"/>
      </rPr>
      <t>TIP</t>
    </r>
    <r>
      <rPr>
        <i/>
        <sz val="9"/>
        <color theme="1"/>
        <rFont val="Calibri"/>
        <family val="2"/>
        <scheme val="minor"/>
      </rPr>
      <t>: Determine if the workstation layout or some other factors are resulting in awkward postures. Remedial actions for awkward posture can include changes in workstation layout.</t>
    </r>
  </si>
  <si>
    <r>
      <rPr>
        <b/>
        <i/>
        <sz val="9"/>
        <color theme="1"/>
        <rFont val="Calibri"/>
        <family val="2"/>
        <scheme val="minor"/>
      </rPr>
      <t xml:space="preserve">TIP: </t>
    </r>
    <r>
      <rPr>
        <i/>
        <sz val="9"/>
        <color theme="1"/>
        <rFont val="Calibri"/>
        <family val="2"/>
        <scheme val="minor"/>
      </rPr>
      <t>Determine the job tasks that require frequent movements of long duration. Remedial actions for repitition can include the appropriate use of job rotation and/or changes in requirements of the job.</t>
    </r>
  </si>
  <si>
    <t xml:space="preserve">
Risks are reduced using the hierarchy of controls, in priority order - starting with hazard elimination and ending with the use of Personal Protective Equipment to control the residual risk of injury or health impairment. Please reference HR - OHS - SMS P 002 Risk Assessment Program or contact your business unit Safety Specialist for further information. </t>
  </si>
  <si>
    <t>Indoor/Outdoor Operations</t>
  </si>
  <si>
    <t>During your work activities, what is the average weight of tools or objects you pick up, carry or support?</t>
  </si>
  <si>
    <t xml:space="preserve">Tools/objects can be hard grip/hold creating discomfort. </t>
  </si>
  <si>
    <t>None of the above</t>
  </si>
  <si>
    <t xml:space="preserve">Too large/small to grip  </t>
  </si>
  <si>
    <t xml:space="preserve">Irregular shape/unbalanced </t>
  </si>
  <si>
    <t>Unsuitable hand hold</t>
  </si>
  <si>
    <t>6E</t>
  </si>
  <si>
    <t>Slippery</t>
  </si>
  <si>
    <t>6D</t>
  </si>
  <si>
    <t>Irregular tool/object shape can create discomfort.</t>
  </si>
  <si>
    <t>Unsuitable handholds on tools/objects can create discomfort.</t>
  </si>
  <si>
    <t>Waist level</t>
  </si>
  <si>
    <t>Naming Convention for this report: Occupation - Buisness Unit - Department - ErgoCheck Risk Report - Date</t>
  </si>
  <si>
    <t xml:space="preserve">Time in this occupation: </t>
  </si>
  <si>
    <t xml:space="preserve">Time in this occupation with the City: </t>
  </si>
  <si>
    <t>&amp;"The employee has performed this work for"&amp;'Answer Sheet'!G10:L10&amp;"of the"&amp;'Answer Sheet'!U10:W10&amp;"they have been with the City."</t>
  </si>
  <si>
    <t>Version 1.1.21</t>
  </si>
  <si>
    <t xml:space="preserve">Repetitive side to side movements of the wrist up to 2 hours. </t>
  </si>
  <si>
    <t xml:space="preserve">Repetitive up and down movements of the wrist up to 2 hours. </t>
  </si>
  <si>
    <t>High Risk Statements</t>
  </si>
  <si>
    <t>Occasional exposure with sharp edges/objects.</t>
  </si>
  <si>
    <t>Frequent exposure with sharp edges/objects.</t>
  </si>
  <si>
    <t>When a worker has frequent localized contact with sharp edges/objects, tissues and nerves beneath the skin can be injured from the pressure.</t>
  </si>
  <si>
    <t>Item Summary (What should my next steps be?)</t>
  </si>
  <si>
    <t>Action (What should I do?)</t>
  </si>
  <si>
    <t>Detailed Clarification Statement (What is the problem?)</t>
  </si>
  <si>
    <t xml:space="preserve">Modify the workplace to remove the hard/rough surface. Where this is not possible, provide the worker with knee pads. </t>
  </si>
  <si>
    <t xml:space="preserve">Determine when/where the worker is required to kneel on hard or rough surfaces. This may be surfaces like gravel, tile, frozen ground, hardwood or cement. </t>
  </si>
  <si>
    <t xml:space="preserve">With the worker, identify what tasks they are using their body parts as a make-shift tool. They may be using their palm or knee as a hammer, for example. </t>
  </si>
  <si>
    <t xml:space="preserve">Modify the workers tool or workspace to remove contact  with sharp edges/objects. Consider changing the tools/objects if modification is not possible. </t>
  </si>
  <si>
    <t xml:space="preserve">Ask the worker if they have the correct tools for the task(s). If the worker already has the correct tools, ensure that they are easily accessible and in a useable condition. </t>
  </si>
  <si>
    <t>With the worker, identify what tasks require them to push/pull heavy objects and why there isn't mechanical assistance. Heavy objects could be items such as tree trunks, office equipment or pool supplies.</t>
  </si>
  <si>
    <t xml:space="preserve">Provide the worker with mechanical assistance, such as a pallet jack, dolly or winch for heavy objects which are moved frequently. If providing mechanical assistance is not possible, consider a procedure which transfers the weight between multiple workers, often referred to as a group lift, push or pull. </t>
  </si>
  <si>
    <t xml:space="preserve">When a worker moves (lifts, pushes, pulls, carries or supports) objects, muscles and tendons can be overloaded when a strong force is applied against the object, or when a weak force is applied many times over a long period of time. </t>
  </si>
  <si>
    <t>Identify the tools which weigh greater than 18lbs. These may be tools such as leaf blowers, jack hammers and gas saws.</t>
  </si>
  <si>
    <t xml:space="preserve">Review tasks which already require two or more workers for the purpose of lifting, pushing, pulling or carrying. Moving large, long or otherwise awkward objects to handle, like big tree branches or broken concrete blocks. </t>
  </si>
  <si>
    <t xml:space="preserve">Ensure two workers are always available/assigned to work where the procedure requires it. Train and educate workers on the requirement request assistance. </t>
  </si>
  <si>
    <t>Replace the tools with alternative, lighter tools. If lighter tools aren't possible, consider additional methods for supporting the tools weight, such as hip belts or shoulder straps or stands.</t>
  </si>
  <si>
    <t xml:space="preserve">Category </t>
  </si>
  <si>
    <t xml:space="preserve">Re-design the job or work area to allow for proper body posture when conducting the work. If the job/area cannot be re-designed introduce frequent micro breaks when performing the task. </t>
  </si>
  <si>
    <t>Identify the tasks require the worker to work near the ground (i.e. constant bending) or above the head (i.e. constant reaching). These could be ordinary jobs, such as stocking shelves, trimming trees or planting garden beds.</t>
  </si>
  <si>
    <t xml:space="preserve">Identify the tasks where workers are stretching their arms to reach objects, items or things. This could be reaching over railings or fencing, or in the cab of heavy equipment. </t>
  </si>
  <si>
    <t xml:space="preserve">Identify and remove heavy tools, or the requirement to carry heavy objects (e.g. large tree stumps, concrete, etc.) while the arms are outstretched. Consider that many ordinary tasks may require the use of heavy tools, with outstretched arms stretched out. </t>
  </si>
  <si>
    <t xml:space="preserve">Modify the job or work process to allow the workers head to be at the same level as the task being performed. If the work process cannot be modified add micro breaks into the workers schedule. </t>
  </si>
  <si>
    <t xml:space="preserve"> </t>
  </si>
  <si>
    <t xml:space="preserve">Identify tasks where the head is bent to an extreme, either up or down or side to side. This could be tasks where vision is obstructed or where the worker isn't at the same height as their interaction. </t>
  </si>
  <si>
    <t>Identify tasks where the wrist is bent either up, or down beyond what is  normally comfortable. Many ordinary tasks may require the wrist to be flexed or extended to reach awkward places, such as in a pipe or tight area.</t>
  </si>
  <si>
    <t xml:space="preserve">Identify tasks where the wrist is bent side to side beyond what is normally comfortable. Many ordinary tasks may require the wrist to be bent at an extreme angle to either side, such as to reach awkward places. </t>
  </si>
  <si>
    <t xml:space="preserve">When a worker performs similar motions using the same muscles with little or no variation, they are exposed to repetition.  They may also be exposed to common risks such as heavy lifting, or awkward postures and their body often cannot manage the added physical strain which can lead to an injury. </t>
  </si>
  <si>
    <t>Introduce task variation to the job duties to reduce the amount of time one singular or similar body motion is performed. If task variation is not possible, introduce scheduled micro breaks to the task.</t>
  </si>
  <si>
    <t>Review tasks which expose the worker to vibration for more than 4 hours regularly. This could be tasks such as operating powered equipment or large machinery like tractors.</t>
  </si>
  <si>
    <t>ErgoCheck Corrective Action Guide</t>
  </si>
  <si>
    <t>Risk categories for this report:</t>
  </si>
  <si>
    <t xml:space="preserve">Identify sharp edges (i.e. not rounded) in the workplace the worker is exposed to. Remember, these could be things like table edges, tools and tool handles used by the worker. </t>
  </si>
  <si>
    <t>Step One - Understanding the Risks</t>
  </si>
  <si>
    <t>I - Contact Stress</t>
  </si>
  <si>
    <t>II - Force</t>
  </si>
  <si>
    <t>III - Awkward Posture</t>
  </si>
  <si>
    <t>IV - Repetition</t>
  </si>
  <si>
    <t>Definition</t>
  </si>
  <si>
    <t>Hazards</t>
  </si>
  <si>
    <t xml:space="preserve">To effectively use this report, we must understand the hazards, and define our next steps. Included here are reccomendations on what to do next as a Supervisor. </t>
  </si>
  <si>
    <t xml:space="preserve">Identify which tasks require the worker to frequently and constantly twist their upper body to conduct their work. These could be unusual tasks or tasks that are completed in an area with limited space. </t>
  </si>
  <si>
    <t xml:space="preserve">IV - Repetition </t>
  </si>
  <si>
    <t>Step Two - Finding the Hazards</t>
  </si>
  <si>
    <t>Step Three - Creating the Actions</t>
  </si>
  <si>
    <t xml:space="preserve">Now that we understand the hazards, we must create actions to address them. Included below are examples of corrective actions which can be taken. Always follow the hierarchy of controls when assigning corrective actions. </t>
  </si>
  <si>
    <t xml:space="preserve">Where possible eliminate or reduce the source of vibration to the worker. If it is not possible to eliminate or reduce vibration, introduce micro breaks to break up exposure times greater than 4 hours, allowing the worker to recover from the exposure. </t>
  </si>
  <si>
    <t xml:space="preserve">When a workers body position requires joints, such as the neck or wrist, to be twisted, bent or rotated away from a neutral position muscles operate less efficiently and create additional stress which can lead to  injuries which normally would not occur. </t>
  </si>
  <si>
    <t xml:space="preserve">Revise the work process to reduce or eliminate any bending, twisting, leaning or reaching. If the work process cannot be revised, try implementing the use of tools that can be comfortably used to avoid bending, twisting, leaning or reaching. </t>
  </si>
  <si>
    <t xml:space="preserve">Revise the work process to eliminate reaching for job tasks. Tasks that require reaching due to inadequate workspace design can be re designed, and job tasks can be changed or new tools provided. </t>
  </si>
  <si>
    <t xml:space="preserve">Provide mechanical aids, (e.g. dollies or carts) for the those tasks which arms are outstretched while supporting weights of greater than 10lbs. If the weight is from tools, reduce the weight of the tools being used, or provided micro breaks frequently if the tools cannot be changed. </t>
  </si>
  <si>
    <t xml:space="preserve">Modify the job or work process to remove or reduce extreme wrist postures (up or down). If that is not possible, provide angled tools, or other appropriate tools which allow a neutral wrist posture. </t>
  </si>
  <si>
    <t xml:space="preserve">Modify the job or work process to remove or reduce extreme wrist postures (side to side). If that is not possible, provide angled tools, or other appropriate tools which allow a neutral wrist posture. </t>
  </si>
  <si>
    <t xml:space="preserve">Review tasks which require lifting, pushing, carrying or pulling. Of those tasks, identify which are done  for more than 5.5 hours without limited or no breaks. </t>
  </si>
  <si>
    <t xml:space="preserve">ErgoCheck </t>
  </si>
  <si>
    <t>Risk Report</t>
  </si>
  <si>
    <t>Musculoskeletal Evaluation Tool</t>
  </si>
  <si>
    <t>Version 1.3.21
Developed by Geoff Wright &amp; Liam Smith
© City of Vancouver</t>
  </si>
  <si>
    <t>DEMONSTRATION VERSION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</si>
</sst>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3" x14ac:knownFonts="1">
    <font>
      <sz val="11"/>
      <color theme="1"/>
      <name val="Calibri"/>
      <family val="2"/>
      <scheme val="minor"/>
    </font>
    <font>
      <b/>
      <sz val="11"/>
      <color theme="1"/>
      <name val="Calibri"/>
      <family val="2"/>
      <scheme val="minor"/>
    </font>
    <font>
      <b/>
      <sz val="15"/>
      <color rgb="FF0082C8"/>
      <name val="Calibri"/>
      <family val="2"/>
      <scheme val="minor"/>
    </font>
    <font>
      <b/>
      <sz val="15"/>
      <color theme="1"/>
      <name val="Calibri"/>
      <family val="2"/>
      <scheme val="minor"/>
    </font>
    <font>
      <sz val="11"/>
      <color theme="1"/>
      <name val="Calibri Light"/>
      <family val="2"/>
      <scheme val="major"/>
    </font>
    <font>
      <sz val="11"/>
      <name val="Calibri"/>
      <family val="2"/>
      <scheme val="minor"/>
    </font>
    <font>
      <sz val="22"/>
      <color theme="1"/>
      <name val="Calibri"/>
      <family val="2"/>
      <scheme val="minor"/>
    </font>
    <font>
      <sz val="22"/>
      <color theme="0"/>
      <name val="Calibri"/>
      <family val="2"/>
      <scheme val="minor"/>
    </font>
    <font>
      <b/>
      <sz val="12"/>
      <color theme="1"/>
      <name val="Calibri"/>
      <family val="2"/>
      <scheme val="minor"/>
    </font>
    <font>
      <b/>
      <sz val="22"/>
      <color theme="1"/>
      <name val="Calibri"/>
      <family val="2"/>
      <scheme val="minor"/>
    </font>
    <font>
      <b/>
      <sz val="18"/>
      <color theme="0"/>
      <name val="Corbel"/>
      <family val="2"/>
    </font>
    <font>
      <b/>
      <sz val="48"/>
      <color theme="1"/>
      <name val="Calibri"/>
      <family val="2"/>
      <scheme val="minor"/>
    </font>
    <font>
      <b/>
      <sz val="18"/>
      <color theme="1"/>
      <name val="Calibri Light"/>
      <family val="2"/>
      <scheme val="major"/>
    </font>
    <font>
      <sz val="11"/>
      <color theme="1"/>
      <name val="Arial"/>
      <family val="2"/>
    </font>
    <font>
      <b/>
      <sz val="11"/>
      <color theme="0"/>
      <name val="Arial"/>
      <family val="2"/>
    </font>
    <font>
      <b/>
      <sz val="11"/>
      <color theme="1"/>
      <name val="Arial"/>
      <family val="2"/>
    </font>
    <font>
      <b/>
      <sz val="10"/>
      <color theme="0"/>
      <name val="Arial"/>
      <family val="2"/>
    </font>
    <font>
      <b/>
      <sz val="10"/>
      <color theme="1"/>
      <name val="Arial"/>
      <family val="2"/>
    </font>
    <font>
      <sz val="10"/>
      <color theme="1"/>
      <name val="Arial"/>
      <family val="2"/>
    </font>
    <font>
      <sz val="14"/>
      <color theme="1"/>
      <name val="Arial"/>
      <family val="2"/>
    </font>
    <font>
      <b/>
      <sz val="11"/>
      <color theme="1"/>
      <name val="Century Gothic"/>
      <family val="2"/>
    </font>
    <font>
      <b/>
      <sz val="12"/>
      <color theme="1"/>
      <name val="Century Gothic"/>
      <family val="2"/>
    </font>
    <font>
      <b/>
      <sz val="26"/>
      <color theme="1"/>
      <name val="Arial"/>
      <family val="2"/>
    </font>
    <font>
      <b/>
      <sz val="48"/>
      <color theme="1"/>
      <name val="Arial"/>
      <family val="2"/>
    </font>
    <font>
      <b/>
      <sz val="12"/>
      <name val="Century Gothic"/>
      <family val="2"/>
    </font>
    <font>
      <b/>
      <sz val="11"/>
      <name val="Arial"/>
      <family val="2"/>
    </font>
    <font>
      <sz val="10"/>
      <name val="Arial"/>
      <family val="2"/>
    </font>
    <font>
      <sz val="11"/>
      <name val="Arial"/>
      <family val="2"/>
    </font>
    <font>
      <b/>
      <sz val="26"/>
      <name val="Arial"/>
      <family val="2"/>
    </font>
    <font>
      <sz val="14"/>
      <name val="Arial"/>
      <family val="2"/>
    </font>
    <font>
      <i/>
      <sz val="10"/>
      <name val="Arial"/>
      <family val="2"/>
    </font>
    <font>
      <i/>
      <sz val="9"/>
      <color theme="1"/>
      <name val="Calibri"/>
      <family val="2"/>
      <scheme val="minor"/>
    </font>
    <font>
      <b/>
      <i/>
      <sz val="9"/>
      <color theme="1"/>
      <name val="Calibri"/>
      <family val="2"/>
      <scheme val="minor"/>
    </font>
  </fonts>
  <fills count="12">
    <fill>
      <patternFill patternType="none"/>
    </fill>
    <fill>
      <patternFill patternType="gray125"/>
    </fill>
    <fill>
      <patternFill patternType="solid">
        <fgColor theme="0" tint="-4.9989318521683403E-2"/>
        <bgColor indexed="64"/>
      </patternFill>
    </fill>
    <fill>
      <patternFill patternType="solid">
        <fgColor rgb="FF0082C8"/>
        <bgColor indexed="64"/>
      </patternFill>
    </fill>
    <fill>
      <patternFill patternType="solid">
        <fgColor rgb="FFF04242"/>
        <bgColor indexed="64"/>
      </patternFill>
    </fill>
    <fill>
      <patternFill patternType="solid">
        <fgColor rgb="FFA9D08E"/>
        <bgColor indexed="64"/>
      </patternFill>
    </fill>
    <fill>
      <patternFill patternType="solid">
        <fgColor rgb="FFFFE699"/>
        <bgColor indexed="64"/>
      </patternFill>
    </fill>
    <fill>
      <patternFill patternType="solid">
        <fgColor rgb="FFF4B084"/>
        <bgColor indexed="64"/>
      </patternFill>
    </fill>
    <fill>
      <patternFill patternType="solid">
        <fgColor rgb="FFFFE999"/>
        <bgColor indexed="64"/>
      </patternFill>
    </fill>
    <fill>
      <patternFill patternType="solid">
        <fgColor rgb="FFA8D08E"/>
        <bgColor indexed="64"/>
      </patternFill>
    </fill>
    <fill>
      <patternFill patternType="solid">
        <fgColor rgb="FFF44242"/>
        <bgColor indexed="64"/>
      </patternFill>
    </fill>
    <fill>
      <patternFill patternType="solid">
        <fgColor rgb="FF0075C9"/>
        <bgColor indexed="64"/>
      </patternFill>
    </fill>
  </fills>
  <borders count="26">
    <border>
      <left/>
      <right/>
      <top/>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bottom/>
      <diagonal/>
    </border>
    <border>
      <left/>
      <right style="medium">
        <color theme="0"/>
      </right>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style="medium">
        <color theme="0"/>
      </top>
      <bottom style="medium">
        <color theme="0"/>
      </bottom>
      <diagonal/>
    </border>
    <border>
      <left/>
      <right/>
      <top/>
      <bottom style="medium">
        <color theme="0"/>
      </bottom>
      <diagonal/>
    </border>
    <border>
      <left/>
      <right/>
      <top style="medium">
        <color theme="0"/>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medium">
        <color theme="0"/>
      </left>
      <right/>
      <top style="medium">
        <color theme="0"/>
      </top>
      <bottom/>
      <diagonal/>
    </border>
    <border>
      <left/>
      <right style="medium">
        <color theme="0"/>
      </right>
      <top style="medium">
        <color theme="0"/>
      </top>
      <bottom/>
      <diagonal/>
    </border>
    <border>
      <left style="thick">
        <color theme="0"/>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bottom>
      <diagonal/>
    </border>
    <border>
      <left/>
      <right/>
      <top/>
      <bottom style="medium">
        <color indexed="64"/>
      </bottom>
      <diagonal/>
    </border>
    <border>
      <left/>
      <right/>
      <top style="medium">
        <color indexed="64"/>
      </top>
      <bottom/>
      <diagonal/>
    </border>
  </borders>
  <cellStyleXfs count="1">
    <xf numFmtId="0" fontId="0" fillId="0" borderId="0"/>
  </cellStyleXfs>
  <cellXfs count="260">
    <xf numFmtId="0" fontId="0" fillId="0" borderId="0" xfId="0"/>
    <xf numFmtId="0" fontId="0" fillId="0" borderId="0" xfId="0" applyAlignment="1">
      <alignment horizontal="center" vertical="center"/>
    </xf>
    <xf numFmtId="0" fontId="2" fillId="0" borderId="0" xfId="0" applyFont="1" applyAlignment="1">
      <alignment vertical="center"/>
    </xf>
    <xf numFmtId="0" fontId="3" fillId="0" borderId="0" xfId="0" applyFont="1" applyAlignment="1">
      <alignment vertical="center"/>
    </xf>
    <xf numFmtId="0" fontId="0" fillId="0" borderId="0" xfId="0"/>
    <xf numFmtId="0" fontId="0" fillId="0" borderId="0" xfId="0" applyFill="1"/>
    <xf numFmtId="0" fontId="1" fillId="0" borderId="0" xfId="0" applyFont="1" applyAlignment="1">
      <alignment horizontal="center"/>
    </xf>
    <xf numFmtId="0" fontId="0" fillId="0" borderId="0" xfId="0"/>
    <xf numFmtId="0" fontId="0" fillId="4" borderId="0" xfId="0" applyFill="1" applyAlignment="1">
      <alignment horizontal="center" vertical="center"/>
    </xf>
    <xf numFmtId="0" fontId="0" fillId="5" borderId="0" xfId="0" applyFill="1" applyAlignment="1">
      <alignment horizontal="center" vertical="center"/>
    </xf>
    <xf numFmtId="0" fontId="0" fillId="6" borderId="0" xfId="0" applyFill="1" applyAlignment="1">
      <alignment horizontal="center" vertical="center"/>
    </xf>
    <xf numFmtId="0" fontId="0" fillId="7" borderId="0" xfId="0" applyFill="1" applyAlignment="1">
      <alignment horizontal="center"/>
    </xf>
    <xf numFmtId="0" fontId="5" fillId="5" borderId="0" xfId="0" applyFont="1" applyFill="1" applyAlignment="1">
      <alignment horizontal="center" vertical="center"/>
    </xf>
    <xf numFmtId="0" fontId="0" fillId="0" borderId="0" xfId="0" applyAlignment="1">
      <alignment horizontal="right"/>
    </xf>
    <xf numFmtId="0" fontId="0" fillId="0" borderId="0" xfId="0" applyAlignment="1"/>
    <xf numFmtId="0" fontId="0" fillId="9" borderId="0" xfId="0" applyFill="1" applyAlignment="1">
      <alignment horizontal="center"/>
    </xf>
    <xf numFmtId="0" fontId="0" fillId="10" borderId="0" xfId="0" applyFill="1" applyAlignment="1">
      <alignment horizontal="center"/>
    </xf>
    <xf numFmtId="0" fontId="0" fillId="8" borderId="0" xfId="0" applyFill="1" applyAlignment="1">
      <alignment horizontal="center"/>
    </xf>
    <xf numFmtId="0" fontId="0" fillId="0" borderId="0" xfId="0" applyNumberFormat="1" applyAlignment="1">
      <alignment horizontal="center"/>
    </xf>
    <xf numFmtId="0" fontId="0" fillId="0" borderId="0" xfId="0" applyNumberFormat="1"/>
    <xf numFmtId="0" fontId="0" fillId="0" borderId="0" xfId="0" applyAlignment="1">
      <alignment horizontal="center" vertical="center" wrapText="1"/>
    </xf>
    <xf numFmtId="0" fontId="1" fillId="0" borderId="0" xfId="0" applyFont="1" applyAlignment="1">
      <alignment horizontal="center"/>
    </xf>
    <xf numFmtId="0" fontId="0" fillId="0" borderId="0" xfId="0" applyFont="1" applyAlignment="1">
      <alignment horizontal="left" vertical="center" wrapText="1"/>
    </xf>
    <xf numFmtId="0" fontId="0" fillId="0" borderId="0" xfId="0" applyAlignment="1">
      <alignment horizontal="center" vertical="center"/>
    </xf>
    <xf numFmtId="0" fontId="7" fillId="3" borderId="0" xfId="0" applyFont="1" applyFill="1" applyAlignment="1">
      <alignment vertical="top" textRotation="90"/>
    </xf>
    <xf numFmtId="0" fontId="6" fillId="3" borderId="0" xfId="0" applyFont="1" applyFill="1" applyAlignment="1">
      <alignment vertical="top" textRotation="90"/>
    </xf>
    <xf numFmtId="0" fontId="6" fillId="0" borderId="0" xfId="0" applyFont="1" applyFill="1" applyAlignment="1">
      <alignment vertical="top" textRotation="90"/>
    </xf>
    <xf numFmtId="0" fontId="0" fillId="0" borderId="0" xfId="0" applyAlignment="1">
      <alignment vertical="center"/>
    </xf>
    <xf numFmtId="0" fontId="1" fillId="0" borderId="0" xfId="0" applyFont="1" applyAlignment="1">
      <alignment horizontal="center" vertical="center"/>
    </xf>
    <xf numFmtId="0" fontId="1" fillId="0" borderId="0" xfId="0" applyFont="1" applyAlignment="1">
      <alignment horizontal="center"/>
    </xf>
    <xf numFmtId="0" fontId="1" fillId="0" borderId="0" xfId="0" applyFont="1" applyFill="1" applyAlignment="1">
      <alignment horizontal="center" vertical="center"/>
    </xf>
    <xf numFmtId="0" fontId="0" fillId="0" borderId="0" xfId="0" applyFill="1" applyAlignment="1">
      <alignment horizontal="center" vertical="center"/>
    </xf>
    <xf numFmtId="0" fontId="11" fillId="0" borderId="0" xfId="0" applyFont="1" applyAlignment="1">
      <alignment vertical="center"/>
    </xf>
    <xf numFmtId="0" fontId="4" fillId="0" borderId="0" xfId="0" applyFont="1" applyAlignment="1">
      <alignment vertical="center" wrapText="1"/>
    </xf>
    <xf numFmtId="0" fontId="0" fillId="0" borderId="0" xfId="0" applyFill="1" applyBorder="1" applyAlignment="1">
      <alignment wrapText="1"/>
    </xf>
    <xf numFmtId="0" fontId="0" fillId="0" borderId="0" xfId="0" applyFont="1" applyFill="1" applyAlignment="1">
      <alignment horizontal="center" vertical="center"/>
    </xf>
    <xf numFmtId="0" fontId="0" fillId="0" borderId="0" xfId="0" applyFont="1" applyFill="1"/>
    <xf numFmtId="0" fontId="0" fillId="7" borderId="0" xfId="0" applyFill="1" applyAlignment="1">
      <alignment horizontal="center" vertical="center"/>
    </xf>
    <xf numFmtId="0" fontId="0" fillId="0" borderId="0" xfId="0" applyAlignment="1">
      <alignment vertical="center" wrapText="1"/>
    </xf>
    <xf numFmtId="0" fontId="0" fillId="0" borderId="0" xfId="0" applyFont="1" applyAlignment="1">
      <alignment vertical="center" wrapText="1"/>
    </xf>
    <xf numFmtId="0" fontId="0" fillId="0" borderId="0" xfId="0" applyAlignment="1">
      <alignment wrapText="1"/>
    </xf>
    <xf numFmtId="0" fontId="12" fillId="0" borderId="0" xfId="0" applyFont="1" applyAlignment="1"/>
    <xf numFmtId="0" fontId="12" fillId="0" borderId="0" xfId="0" applyFont="1" applyAlignment="1">
      <alignment vertical="center"/>
    </xf>
    <xf numFmtId="0" fontId="20" fillId="0" borderId="0" xfId="0" applyFont="1" applyAlignment="1">
      <alignment vertical="center"/>
    </xf>
    <xf numFmtId="0" fontId="15" fillId="0" borderId="0" xfId="0" applyFont="1" applyAlignment="1"/>
    <xf numFmtId="0" fontId="23" fillId="0" borderId="0" xfId="0" applyFont="1" applyAlignment="1">
      <alignment vertical="center"/>
    </xf>
    <xf numFmtId="0" fontId="13" fillId="0" borderId="0" xfId="0" applyFont="1" applyAlignment="1">
      <alignment vertical="center" wrapText="1"/>
    </xf>
    <xf numFmtId="0" fontId="13" fillId="0" borderId="0" xfId="0" applyFont="1"/>
    <xf numFmtId="0" fontId="15" fillId="0" borderId="8" xfId="0" applyFont="1" applyFill="1" applyBorder="1" applyAlignment="1">
      <alignment horizontal="right"/>
    </xf>
    <xf numFmtId="0" fontId="15" fillId="0" borderId="2" xfId="0" applyFont="1" applyBorder="1" applyAlignment="1">
      <alignment horizontal="right"/>
    </xf>
    <xf numFmtId="0" fontId="15" fillId="0" borderId="5" xfId="0" applyFont="1" applyFill="1" applyBorder="1" applyAlignment="1">
      <alignment horizontal="right"/>
    </xf>
    <xf numFmtId="0" fontId="15" fillId="0" borderId="0" xfId="0" applyFont="1" applyAlignment="1">
      <alignment horizontal="right"/>
    </xf>
    <xf numFmtId="0" fontId="13" fillId="0" borderId="2" xfId="0" applyFont="1" applyFill="1" applyBorder="1"/>
    <xf numFmtId="0" fontId="13" fillId="0" borderId="0" xfId="0" applyFont="1" applyFill="1"/>
    <xf numFmtId="0" fontId="15" fillId="0" borderId="1" xfId="0" applyFont="1" applyBorder="1" applyAlignment="1">
      <alignment horizontal="right"/>
    </xf>
    <xf numFmtId="0" fontId="13" fillId="0" borderId="3" xfId="0" applyFont="1" applyFill="1" applyBorder="1"/>
    <xf numFmtId="0" fontId="25" fillId="0" borderId="2" xfId="0" applyFont="1" applyBorder="1" applyAlignment="1">
      <alignment horizontal="right"/>
    </xf>
    <xf numFmtId="0" fontId="13" fillId="2" borderId="8" xfId="0" applyFont="1" applyFill="1" applyBorder="1" applyAlignment="1">
      <alignment horizontal="center" vertical="center"/>
    </xf>
    <xf numFmtId="0" fontId="0" fillId="0" borderId="0" xfId="0" applyFont="1"/>
    <xf numFmtId="0" fontId="0" fillId="0" borderId="0" xfId="0" applyNumberFormat="1" applyFill="1" applyAlignment="1">
      <alignment horizontal="center"/>
    </xf>
    <xf numFmtId="0" fontId="1" fillId="0" borderId="0" xfId="0" applyFont="1" applyAlignment="1">
      <alignment horizontal="center"/>
    </xf>
    <xf numFmtId="0" fontId="0" fillId="0" borderId="0" xfId="0" applyAlignment="1">
      <alignment horizontal="center" vertical="center" wrapText="1"/>
    </xf>
    <xf numFmtId="0" fontId="0" fillId="0" borderId="0" xfId="0" applyFill="1" applyAlignment="1">
      <alignment horizontal="center" vertical="center" wrapText="1"/>
    </xf>
    <xf numFmtId="0" fontId="0" fillId="0" borderId="0" xfId="0" applyFill="1" applyAlignment="1">
      <alignment horizontal="center"/>
    </xf>
    <xf numFmtId="0" fontId="13" fillId="0" borderId="0" xfId="0" applyFont="1" applyAlignment="1">
      <alignment horizontal="center" vertical="center" wrapText="1"/>
    </xf>
    <xf numFmtId="0" fontId="1" fillId="0" borderId="0" xfId="0" applyFont="1" applyAlignment="1">
      <alignment horizontal="center"/>
    </xf>
    <xf numFmtId="0" fontId="5" fillId="0" borderId="0" xfId="0" applyFont="1" applyFill="1" applyAlignment="1">
      <alignment horizontal="center" vertical="center"/>
    </xf>
    <xf numFmtId="0" fontId="0" fillId="0" borderId="0" xfId="0" applyFill="1" applyAlignment="1">
      <alignment vertical="center" wrapText="1"/>
    </xf>
    <xf numFmtId="0" fontId="0" fillId="0" borderId="0" xfId="0" applyFont="1" applyFill="1" applyAlignment="1">
      <alignment vertical="center" wrapText="1"/>
    </xf>
    <xf numFmtId="0" fontId="0" fillId="0" borderId="0" xfId="0" applyFill="1" applyAlignment="1">
      <alignment wrapText="1"/>
    </xf>
    <xf numFmtId="0" fontId="0" fillId="0" borderId="0" xfId="0" applyFont="1" applyFill="1" applyAlignment="1">
      <alignment horizontal="center" vertical="center" wrapText="1"/>
    </xf>
    <xf numFmtId="0" fontId="0" fillId="0" borderId="0" xfId="0" applyNumberFormat="1" applyAlignment="1">
      <alignment horizontal="center" vertical="center"/>
    </xf>
    <xf numFmtId="0" fontId="0" fillId="0" borderId="0" xfId="0" applyFill="1" applyAlignment="1"/>
    <xf numFmtId="0" fontId="1" fillId="0" borderId="0" xfId="0" applyFont="1" applyFill="1" applyAlignment="1"/>
    <xf numFmtId="0" fontId="1" fillId="0" borderId="0" xfId="0" applyFont="1" applyAlignment="1">
      <alignment vertical="center" wrapText="1"/>
    </xf>
    <xf numFmtId="0" fontId="5" fillId="0" borderId="0" xfId="0" applyFont="1" applyFill="1" applyAlignment="1">
      <alignment horizontal="center" vertical="center" wrapText="1"/>
    </xf>
    <xf numFmtId="0" fontId="0" fillId="0" borderId="0" xfId="0" applyFill="1" applyAlignment="1">
      <alignment horizontal="left"/>
    </xf>
    <xf numFmtId="0" fontId="1" fillId="0" borderId="0" xfId="0" applyFont="1" applyFill="1" applyAlignment="1">
      <alignment vertical="center" wrapText="1"/>
    </xf>
    <xf numFmtId="0" fontId="1" fillId="0" borderId="0" xfId="0" applyFont="1" applyFill="1"/>
    <xf numFmtId="0" fontId="26" fillId="0" borderId="0" xfId="0" applyFont="1" applyFill="1" applyBorder="1" applyAlignment="1">
      <alignment vertical="top" wrapText="1"/>
    </xf>
    <xf numFmtId="0" fontId="25" fillId="0" borderId="0" xfId="0" applyFont="1" applyFill="1" applyBorder="1" applyAlignment="1">
      <alignment vertical="center"/>
    </xf>
    <xf numFmtId="0" fontId="0" fillId="0" borderId="0" xfId="0" applyBorder="1"/>
    <xf numFmtId="0" fontId="27" fillId="0" borderId="0" xfId="0" applyFont="1" applyFill="1" applyBorder="1" applyAlignment="1">
      <alignment vertical="center" wrapText="1"/>
    </xf>
    <xf numFmtId="0" fontId="0" fillId="0" borderId="0" xfId="0" applyBorder="1" applyAlignment="1"/>
    <xf numFmtId="0" fontId="11" fillId="0" borderId="0" xfId="0" applyFont="1" applyBorder="1" applyAlignment="1">
      <alignment vertical="center"/>
    </xf>
    <xf numFmtId="0" fontId="28" fillId="0" borderId="0" xfId="0" applyFont="1" applyFill="1" applyBorder="1" applyAlignment="1">
      <alignment vertical="center" wrapText="1"/>
    </xf>
    <xf numFmtId="0" fontId="29" fillId="0" borderId="0" xfId="0" applyFont="1" applyFill="1" applyBorder="1" applyAlignment="1">
      <alignment vertical="center" wrapText="1"/>
    </xf>
    <xf numFmtId="0" fontId="0" fillId="0" borderId="0" xfId="0" applyFill="1" applyBorder="1"/>
    <xf numFmtId="0" fontId="27" fillId="0" borderId="0" xfId="0" applyFont="1" applyFill="1" applyBorder="1" applyAlignment="1">
      <alignment vertical="center"/>
    </xf>
    <xf numFmtId="0" fontId="27" fillId="0" borderId="0" xfId="0" applyFont="1" applyFill="1" applyBorder="1" applyAlignment="1">
      <alignment vertical="top" wrapText="1"/>
    </xf>
    <xf numFmtId="164" fontId="0" fillId="0" borderId="0" xfId="0" applyNumberFormat="1" applyAlignment="1">
      <alignment vertical="center" wrapText="1"/>
    </xf>
    <xf numFmtId="0" fontId="26" fillId="0" borderId="15" xfId="0" applyFont="1" applyFill="1" applyBorder="1" applyAlignment="1">
      <alignment vertical="top" wrapText="1"/>
    </xf>
    <xf numFmtId="0" fontId="1" fillId="0" borderId="0" xfId="0" applyFont="1" applyAlignment="1">
      <alignment horizontal="center"/>
    </xf>
    <xf numFmtId="0" fontId="0" fillId="0" borderId="0" xfId="0" applyAlignment="1">
      <alignment horizontal="center" vertical="center"/>
    </xf>
    <xf numFmtId="0" fontId="0" fillId="0" borderId="0" xfId="0" applyFill="1" applyBorder="1" applyAlignment="1">
      <alignment vertical="top" wrapText="1"/>
    </xf>
    <xf numFmtId="0" fontId="27" fillId="0" borderId="0" xfId="0" applyFont="1" applyFill="1" applyBorder="1" applyAlignment="1">
      <alignment horizontal="right" vertical="top" wrapText="1"/>
    </xf>
    <xf numFmtId="0" fontId="27" fillId="0" borderId="15" xfId="0" applyFont="1" applyFill="1" applyBorder="1" applyAlignment="1">
      <alignment horizontal="right" vertical="top" wrapText="1"/>
    </xf>
    <xf numFmtId="0" fontId="25" fillId="0" borderId="0" xfId="0" applyFont="1" applyFill="1" applyBorder="1" applyAlignment="1">
      <alignment horizontal="center" vertical="center" wrapText="1"/>
    </xf>
    <xf numFmtId="0" fontId="13" fillId="2" borderId="2" xfId="0" applyFont="1" applyFill="1" applyBorder="1" applyAlignment="1">
      <alignment horizontal="center" vertical="center"/>
    </xf>
    <xf numFmtId="0" fontId="13" fillId="2" borderId="2" xfId="0" applyFont="1" applyFill="1" applyBorder="1" applyAlignment="1">
      <alignment horizontal="center"/>
    </xf>
    <xf numFmtId="0" fontId="13" fillId="2" borderId="1" xfId="0" applyFont="1" applyFill="1" applyBorder="1" applyAlignment="1">
      <alignment horizontal="center"/>
    </xf>
    <xf numFmtId="0" fontId="13" fillId="2" borderId="3" xfId="0" applyFont="1" applyFill="1" applyBorder="1" applyAlignment="1">
      <alignment horizontal="center"/>
    </xf>
    <xf numFmtId="0" fontId="13" fillId="0" borderId="0" xfId="0" applyFont="1" applyAlignment="1">
      <alignment horizontal="center"/>
    </xf>
    <xf numFmtId="16" fontId="0" fillId="0" borderId="0" xfId="0" applyNumberFormat="1" applyAlignment="1">
      <alignment vertical="center" wrapText="1"/>
    </xf>
    <xf numFmtId="0" fontId="0" fillId="0" borderId="0" xfId="0" applyNumberFormat="1" applyAlignment="1">
      <alignment vertical="center" wrapText="1"/>
    </xf>
    <xf numFmtId="0" fontId="13" fillId="2" borderId="0" xfId="0" applyFont="1" applyFill="1" applyAlignment="1">
      <alignment horizontal="center"/>
    </xf>
    <xf numFmtId="0" fontId="13" fillId="0" borderId="0" xfId="0" applyFont="1" applyAlignment="1">
      <alignment horizontal="center" vertical="center" wrapText="1"/>
    </xf>
    <xf numFmtId="0" fontId="13" fillId="0" borderId="0" xfId="0" applyFont="1" applyAlignment="1">
      <alignment horizontal="center" vertical="center" wrapText="1"/>
    </xf>
    <xf numFmtId="0" fontId="18" fillId="0" borderId="0" xfId="0" applyFont="1" applyAlignment="1">
      <alignment vertical="center"/>
    </xf>
    <xf numFmtId="0" fontId="13" fillId="0" borderId="23" xfId="0" applyFont="1" applyBorder="1" applyAlignment="1">
      <alignment horizontal="center" vertical="center" wrapText="1"/>
    </xf>
    <xf numFmtId="0" fontId="13" fillId="0" borderId="0" xfId="0" applyFont="1" applyAlignment="1">
      <alignment vertical="center"/>
    </xf>
    <xf numFmtId="0" fontId="0" fillId="0" borderId="0" xfId="0" applyAlignment="1">
      <alignment horizontal="left" wrapText="1"/>
    </xf>
    <xf numFmtId="0" fontId="1" fillId="0" borderId="0" xfId="0" applyFont="1" applyAlignment="1">
      <alignment horizontal="center"/>
    </xf>
    <xf numFmtId="0" fontId="0" fillId="0" borderId="0" xfId="0" applyAlignment="1">
      <alignment horizontal="left" vertical="center" wrapText="1"/>
    </xf>
    <xf numFmtId="0" fontId="0" fillId="0" borderId="0" xfId="0" applyAlignment="1">
      <alignment horizontal="left" vertical="center"/>
    </xf>
    <xf numFmtId="0" fontId="0" fillId="0" borderId="24" xfId="0" applyBorder="1" applyAlignment="1">
      <alignment wrapText="1"/>
    </xf>
    <xf numFmtId="0" fontId="0" fillId="0" borderId="24" xfId="0" applyBorder="1" applyAlignment="1">
      <alignment vertical="center" wrapText="1"/>
    </xf>
    <xf numFmtId="0" fontId="0" fillId="0" borderId="24" xfId="0" applyBorder="1" applyAlignment="1">
      <alignment vertical="center"/>
    </xf>
    <xf numFmtId="0" fontId="21" fillId="0" borderId="0" xfId="0" applyFont="1" applyAlignment="1">
      <alignment vertical="center"/>
    </xf>
    <xf numFmtId="0" fontId="0" fillId="0" borderId="0" xfId="0" applyAlignment="1">
      <alignment horizontal="left" wrapText="1"/>
    </xf>
    <xf numFmtId="0" fontId="0" fillId="0" borderId="0" xfId="0" applyFill="1" applyBorder="1" applyAlignment="1">
      <alignment vertical="center" wrapText="1"/>
    </xf>
    <xf numFmtId="0" fontId="0" fillId="0" borderId="0" xfId="0" applyFill="1" applyBorder="1" applyAlignment="1">
      <alignment horizontal="center" wrapText="1"/>
    </xf>
    <xf numFmtId="0" fontId="0" fillId="0" borderId="0" xfId="0" applyBorder="1" applyAlignment="1">
      <alignment vertical="center" wrapText="1"/>
    </xf>
    <xf numFmtId="0" fontId="0" fillId="0" borderId="0" xfId="0" applyFill="1" applyBorder="1" applyAlignment="1">
      <alignment vertical="center" wrapText="1"/>
    </xf>
    <xf numFmtId="0" fontId="0" fillId="0" borderId="25" xfId="0" applyBorder="1"/>
    <xf numFmtId="0" fontId="0" fillId="0" borderId="25" xfId="0" applyFill="1" applyBorder="1" applyAlignment="1">
      <alignment vertical="center" wrapText="1"/>
    </xf>
    <xf numFmtId="0" fontId="0" fillId="0" borderId="25" xfId="0" applyFill="1" applyBorder="1" applyAlignment="1">
      <alignment wrapText="1"/>
    </xf>
    <xf numFmtId="0" fontId="0" fillId="0" borderId="0" xfId="0" applyBorder="1" applyAlignment="1">
      <alignment wrapText="1"/>
    </xf>
    <xf numFmtId="0" fontId="0" fillId="0" borderId="24" xfId="0" applyBorder="1"/>
    <xf numFmtId="0" fontId="0" fillId="0" borderId="24" xfId="0" applyFill="1" applyBorder="1" applyAlignment="1">
      <alignment vertical="center" wrapText="1"/>
    </xf>
    <xf numFmtId="0" fontId="0" fillId="0" borderId="24" xfId="0" applyFill="1" applyBorder="1" applyAlignment="1">
      <alignment vertical="center" wrapText="1"/>
    </xf>
    <xf numFmtId="0" fontId="0" fillId="0" borderId="0" xfId="0" applyFill="1" applyBorder="1" applyAlignment="1">
      <alignment horizontal="left" vertical="center" wrapText="1"/>
    </xf>
    <xf numFmtId="0" fontId="1" fillId="0" borderId="0" xfId="0" applyFont="1"/>
    <xf numFmtId="0" fontId="0" fillId="0" borderId="0" xfId="0" applyAlignment="1">
      <alignment horizontal="left"/>
    </xf>
    <xf numFmtId="0" fontId="15" fillId="0" borderId="0" xfId="0" applyFont="1" applyFill="1" applyAlignment="1">
      <alignment vertical="center" wrapText="1"/>
    </xf>
    <xf numFmtId="0" fontId="13" fillId="0" borderId="0" xfId="0" applyFont="1" applyFill="1" applyAlignment="1">
      <alignment vertical="center" wrapText="1"/>
    </xf>
    <xf numFmtId="0" fontId="15" fillId="0" borderId="0" xfId="0" applyFont="1" applyFill="1" applyAlignment="1">
      <alignment horizontal="right" vertical="center" wrapText="1"/>
    </xf>
    <xf numFmtId="0" fontId="13" fillId="0" borderId="0" xfId="0" applyFont="1" applyFill="1" applyAlignment="1">
      <alignment horizontal="left" vertical="top" wrapText="1"/>
    </xf>
    <xf numFmtId="0" fontId="0" fillId="0" borderId="0" xfId="0" applyBorder="1" applyAlignment="1">
      <alignment horizontal="left" wrapText="1"/>
    </xf>
    <xf numFmtId="0" fontId="15" fillId="0" borderId="0" xfId="0" applyFont="1" applyFill="1" applyAlignment="1">
      <alignment horizontal="right" vertical="center" wrapText="1"/>
    </xf>
    <xf numFmtId="0" fontId="13" fillId="0" borderId="0" xfId="0" applyFont="1" applyFill="1" applyAlignment="1">
      <alignment horizontal="left" vertical="center" wrapText="1"/>
    </xf>
    <xf numFmtId="0" fontId="24" fillId="0" borderId="0" xfId="0" applyFont="1" applyAlignment="1">
      <alignment horizontal="left" wrapText="1"/>
    </xf>
    <xf numFmtId="0" fontId="24" fillId="0" borderId="0" xfId="0" applyFont="1" applyAlignment="1">
      <alignment horizontal="left"/>
    </xf>
    <xf numFmtId="0" fontId="13" fillId="2" borderId="2" xfId="0" applyFont="1" applyFill="1" applyBorder="1" applyAlignment="1">
      <alignment horizontal="center" vertical="center"/>
    </xf>
    <xf numFmtId="0" fontId="13" fillId="2" borderId="10" xfId="0" applyFont="1" applyFill="1" applyBorder="1" applyAlignment="1">
      <alignment horizontal="center" vertical="center"/>
    </xf>
    <xf numFmtId="0" fontId="13" fillId="2" borderId="2" xfId="0" applyFont="1" applyFill="1" applyBorder="1" applyAlignment="1">
      <alignment horizontal="center"/>
    </xf>
    <xf numFmtId="0" fontId="13" fillId="2" borderId="1" xfId="0" applyFont="1" applyFill="1" applyBorder="1" applyAlignment="1">
      <alignment horizontal="center" vertical="center"/>
    </xf>
    <xf numFmtId="0" fontId="13" fillId="2" borderId="3" xfId="0" applyFont="1" applyFill="1" applyBorder="1" applyAlignment="1">
      <alignment horizontal="center" vertical="center"/>
    </xf>
    <xf numFmtId="0" fontId="14" fillId="11" borderId="4" xfId="0" applyFont="1" applyFill="1" applyBorder="1" applyAlignment="1">
      <alignment horizontal="center" vertical="center" wrapText="1"/>
    </xf>
    <xf numFmtId="0" fontId="14" fillId="11" borderId="0" xfId="0" applyFont="1" applyFill="1" applyBorder="1" applyAlignment="1">
      <alignment horizontal="center" vertical="center" wrapText="1"/>
    </xf>
    <xf numFmtId="0" fontId="14" fillId="11" borderId="5" xfId="0" applyFont="1" applyFill="1" applyBorder="1" applyAlignment="1">
      <alignment horizontal="center" vertical="center" wrapText="1"/>
    </xf>
    <xf numFmtId="0" fontId="14" fillId="11" borderId="6" xfId="0" applyFont="1" applyFill="1" applyBorder="1" applyAlignment="1">
      <alignment horizontal="center" vertical="center" wrapText="1"/>
    </xf>
    <xf numFmtId="0" fontId="14" fillId="11" borderId="9" xfId="0" applyFont="1" applyFill="1" applyBorder="1" applyAlignment="1">
      <alignment horizontal="center" vertical="center" wrapText="1"/>
    </xf>
    <xf numFmtId="0" fontId="14" fillId="11" borderId="7" xfId="0" applyFont="1" applyFill="1" applyBorder="1" applyAlignment="1">
      <alignment horizontal="center" vertical="center" wrapText="1"/>
    </xf>
    <xf numFmtId="0" fontId="14" fillId="11" borderId="6" xfId="0" applyFont="1" applyFill="1" applyBorder="1" applyAlignment="1">
      <alignment horizontal="center" vertical="center"/>
    </xf>
    <xf numFmtId="0" fontId="14" fillId="11" borderId="9" xfId="0" applyFont="1" applyFill="1" applyBorder="1" applyAlignment="1">
      <alignment horizontal="center" vertical="center"/>
    </xf>
    <xf numFmtId="0" fontId="14" fillId="11" borderId="7" xfId="0" applyFont="1" applyFill="1" applyBorder="1" applyAlignment="1">
      <alignment horizontal="center" vertical="center"/>
    </xf>
    <xf numFmtId="0" fontId="13" fillId="2" borderId="1" xfId="0" applyFont="1" applyFill="1" applyBorder="1" applyAlignment="1">
      <alignment horizontal="center"/>
    </xf>
    <xf numFmtId="0" fontId="13" fillId="2" borderId="3" xfId="0" applyFont="1" applyFill="1" applyBorder="1" applyAlignment="1">
      <alignment horizontal="center"/>
    </xf>
    <xf numFmtId="0" fontId="13" fillId="0" borderId="0" xfId="0" applyFont="1" applyAlignment="1">
      <alignment horizontal="left" vertical="center" wrapText="1"/>
    </xf>
    <xf numFmtId="0" fontId="13" fillId="0" borderId="0" xfId="0" applyFont="1" applyAlignment="1">
      <alignment horizontal="right" vertical="center" wrapText="1"/>
    </xf>
    <xf numFmtId="0" fontId="13" fillId="2" borderId="23" xfId="0" applyFont="1" applyFill="1" applyBorder="1" applyAlignment="1">
      <alignment horizontal="center" vertical="center" wrapText="1"/>
    </xf>
    <xf numFmtId="0" fontId="13" fillId="0" borderId="0" xfId="0" applyFont="1" applyAlignment="1">
      <alignment horizontal="center" vertical="center" wrapText="1"/>
    </xf>
    <xf numFmtId="0" fontId="13" fillId="2" borderId="0" xfId="0" applyFont="1" applyFill="1" applyAlignment="1">
      <alignment horizontal="center" vertical="center" wrapText="1"/>
    </xf>
    <xf numFmtId="16" fontId="13" fillId="2" borderId="23" xfId="0" applyNumberFormat="1" applyFont="1" applyFill="1" applyBorder="1" applyAlignment="1">
      <alignment horizontal="center" vertical="center" wrapText="1"/>
    </xf>
    <xf numFmtId="0" fontId="13" fillId="0" borderId="0" xfId="0" applyFont="1" applyAlignment="1">
      <alignment horizontal="right" vertical="center"/>
    </xf>
    <xf numFmtId="0" fontId="0" fillId="0" borderId="0" xfId="0" applyAlignment="1">
      <alignment horizontal="center" wrapText="1"/>
    </xf>
    <xf numFmtId="0" fontId="0" fillId="0" borderId="0" xfId="0" applyAlignment="1">
      <alignment horizontal="center"/>
    </xf>
    <xf numFmtId="0" fontId="0" fillId="0" borderId="0" xfId="0" applyAlignment="1">
      <alignment horizontal="left" wrapText="1"/>
    </xf>
    <xf numFmtId="0" fontId="1" fillId="0" borderId="0" xfId="0" applyFont="1" applyAlignment="1">
      <alignment horizontal="center"/>
    </xf>
    <xf numFmtId="0" fontId="0" fillId="0" borderId="0" xfId="0" applyFill="1" applyAlignment="1">
      <alignment horizontal="left"/>
    </xf>
    <xf numFmtId="0" fontId="5" fillId="0" borderId="0" xfId="0" applyFont="1" applyFill="1" applyAlignment="1">
      <alignment horizontal="center" vertical="center" wrapText="1"/>
    </xf>
    <xf numFmtId="0" fontId="0" fillId="0" borderId="0" xfId="0" applyAlignment="1">
      <alignment horizontal="center" vertical="center"/>
    </xf>
    <xf numFmtId="0" fontId="0" fillId="0" borderId="0" xfId="0" applyFont="1" applyAlignment="1">
      <alignment horizontal="left" wrapText="1"/>
    </xf>
    <xf numFmtId="0" fontId="0" fillId="0" borderId="0" xfId="0" applyFont="1" applyFill="1" applyAlignment="1">
      <alignment horizontal="center" vertical="center" wrapText="1"/>
    </xf>
    <xf numFmtId="0" fontId="0" fillId="0" borderId="0" xfId="0" applyBorder="1" applyAlignment="1">
      <alignment horizontal="center"/>
    </xf>
    <xf numFmtId="0" fontId="27" fillId="0" borderId="0" xfId="0" applyFont="1" applyFill="1" applyBorder="1" applyAlignment="1">
      <alignment horizontal="left" vertical="top" wrapText="1"/>
    </xf>
    <xf numFmtId="0" fontId="14" fillId="10" borderId="0" xfId="0" applyFont="1" applyFill="1" applyBorder="1" applyAlignment="1">
      <alignment horizontal="center" vertical="center"/>
    </xf>
    <xf numFmtId="0" fontId="14" fillId="7" borderId="0" xfId="0" applyFont="1" applyFill="1" applyBorder="1" applyAlignment="1">
      <alignment horizontal="center" vertical="center"/>
    </xf>
    <xf numFmtId="0" fontId="15" fillId="8" borderId="0" xfId="0" applyFont="1" applyFill="1" applyBorder="1" applyAlignment="1">
      <alignment horizontal="center" vertical="center"/>
    </xf>
    <xf numFmtId="0" fontId="22" fillId="0" borderId="0" xfId="0" applyFont="1" applyAlignment="1">
      <alignment horizontal="center" vertical="center" wrapText="1"/>
    </xf>
    <xf numFmtId="0" fontId="19" fillId="2" borderId="0" xfId="0" applyFont="1" applyFill="1" applyAlignment="1">
      <alignment horizontal="center" vertical="center" wrapText="1"/>
    </xf>
    <xf numFmtId="0" fontId="0" fillId="2" borderId="11" xfId="0" applyFill="1" applyBorder="1" applyAlignment="1">
      <alignment horizontal="center" vertical="top" wrapText="1"/>
    </xf>
    <xf numFmtId="0" fontId="0" fillId="2" borderId="12" xfId="0" applyFill="1" applyBorder="1" applyAlignment="1">
      <alignment horizontal="center" vertical="top" wrapText="1"/>
    </xf>
    <xf numFmtId="0" fontId="0" fillId="2" borderId="13" xfId="0" applyFill="1" applyBorder="1" applyAlignment="1">
      <alignment horizontal="center" vertical="top" wrapText="1"/>
    </xf>
    <xf numFmtId="0" fontId="0" fillId="2" borderId="14" xfId="0" applyFill="1" applyBorder="1" applyAlignment="1">
      <alignment horizontal="center" vertical="top" wrapText="1"/>
    </xf>
    <xf numFmtId="0" fontId="0" fillId="2" borderId="0" xfId="0" applyFill="1" applyBorder="1" applyAlignment="1">
      <alignment horizontal="center" vertical="top" wrapText="1"/>
    </xf>
    <xf numFmtId="0" fontId="0" fillId="2" borderId="15" xfId="0" applyFill="1" applyBorder="1" applyAlignment="1">
      <alignment horizontal="center" vertical="top" wrapText="1"/>
    </xf>
    <xf numFmtId="0" fontId="31" fillId="0" borderId="14" xfId="0" applyFont="1" applyFill="1" applyBorder="1" applyAlignment="1">
      <alignment horizontal="center" vertical="center" wrapText="1"/>
    </xf>
    <xf numFmtId="0" fontId="31" fillId="0" borderId="0" xfId="0" applyFont="1" applyFill="1" applyBorder="1" applyAlignment="1">
      <alignment horizontal="center" vertical="center" wrapText="1"/>
    </xf>
    <xf numFmtId="0" fontId="31" fillId="0" borderId="15" xfId="0" applyFont="1" applyFill="1" applyBorder="1" applyAlignment="1">
      <alignment horizontal="center" vertical="center" wrapText="1"/>
    </xf>
    <xf numFmtId="0" fontId="0" fillId="0" borderId="14" xfId="0" applyFill="1" applyBorder="1" applyAlignment="1">
      <alignment horizontal="center" vertical="top" wrapText="1"/>
    </xf>
    <xf numFmtId="0" fontId="0" fillId="0" borderId="0" xfId="0" applyFill="1" applyBorder="1" applyAlignment="1">
      <alignment horizontal="center" vertical="top" wrapText="1"/>
    </xf>
    <xf numFmtId="0" fontId="0" fillId="0" borderId="15" xfId="0" applyFill="1" applyBorder="1" applyAlignment="1">
      <alignment horizontal="center" vertical="top" wrapText="1"/>
    </xf>
    <xf numFmtId="0" fontId="21" fillId="0" borderId="0" xfId="0" applyFont="1" applyAlignment="1">
      <alignment horizontal="left" wrapText="1"/>
    </xf>
    <xf numFmtId="0" fontId="13" fillId="0" borderId="0" xfId="0" applyFont="1" applyAlignment="1">
      <alignment horizontal="center"/>
    </xf>
    <xf numFmtId="0" fontId="21" fillId="0" borderId="0" xfId="0" applyFont="1" applyAlignment="1">
      <alignment horizontal="left"/>
    </xf>
    <xf numFmtId="0" fontId="27" fillId="0" borderId="0" xfId="0" applyFont="1" applyFill="1" applyBorder="1" applyAlignment="1">
      <alignment horizontal="left" vertical="center" wrapText="1"/>
    </xf>
    <xf numFmtId="0" fontId="25" fillId="10" borderId="21" xfId="0" applyFont="1" applyFill="1" applyBorder="1" applyAlignment="1">
      <alignment horizontal="center" vertical="center" wrapText="1"/>
    </xf>
    <xf numFmtId="0" fontId="25" fillId="10" borderId="22" xfId="0" applyFont="1" applyFill="1" applyBorder="1" applyAlignment="1">
      <alignment horizontal="center" vertical="center" wrapText="1"/>
    </xf>
    <xf numFmtId="0" fontId="25" fillId="7" borderId="21" xfId="0" applyFont="1" applyFill="1" applyBorder="1" applyAlignment="1">
      <alignment horizontal="center" vertical="center" wrapText="1"/>
    </xf>
    <xf numFmtId="0" fontId="25" fillId="7" borderId="22" xfId="0" applyFont="1" applyFill="1" applyBorder="1" applyAlignment="1">
      <alignment horizontal="center" vertical="center" wrapText="1"/>
    </xf>
    <xf numFmtId="0" fontId="25" fillId="8" borderId="21" xfId="0" applyFont="1" applyFill="1" applyBorder="1" applyAlignment="1">
      <alignment horizontal="center" vertical="center" wrapText="1"/>
    </xf>
    <xf numFmtId="0" fontId="25" fillId="8" borderId="22" xfId="0" applyFont="1" applyFill="1" applyBorder="1" applyAlignment="1">
      <alignment horizontal="center" vertical="center" wrapText="1"/>
    </xf>
    <xf numFmtId="0" fontId="27" fillId="0" borderId="0" xfId="0" applyFont="1" applyFill="1" applyBorder="1" applyAlignment="1">
      <alignment horizontal="right" vertical="top" wrapText="1"/>
    </xf>
    <xf numFmtId="0" fontId="27" fillId="0" borderId="15" xfId="0" applyFont="1" applyFill="1" applyBorder="1" applyAlignment="1">
      <alignment horizontal="right" vertical="top" wrapText="1"/>
    </xf>
    <xf numFmtId="0" fontId="15" fillId="0" borderId="0" xfId="0" applyFont="1" applyBorder="1" applyAlignment="1">
      <alignment horizontal="center" vertical="center"/>
    </xf>
    <xf numFmtId="0" fontId="30" fillId="0" borderId="0" xfId="0" applyFont="1" applyFill="1" applyBorder="1" applyAlignment="1">
      <alignment horizontal="center" vertical="top" wrapText="1"/>
    </xf>
    <xf numFmtId="0" fontId="27" fillId="0" borderId="0" xfId="0" applyFont="1" applyFill="1" applyBorder="1" applyAlignment="1">
      <alignment horizontal="left" wrapText="1"/>
    </xf>
    <xf numFmtId="0" fontId="15" fillId="0" borderId="0" xfId="0" applyFont="1" applyFill="1" applyAlignment="1">
      <alignment horizontal="right" vertical="center" wrapText="1"/>
    </xf>
    <xf numFmtId="0" fontId="13" fillId="0" borderId="0" xfId="0" applyFont="1" applyFill="1" applyAlignment="1">
      <alignment horizontal="left" vertical="center" wrapText="1"/>
    </xf>
    <xf numFmtId="0" fontId="13" fillId="0" borderId="0" xfId="0" applyFont="1" applyFill="1" applyAlignment="1">
      <alignment vertical="center" wrapText="1"/>
    </xf>
    <xf numFmtId="0" fontId="15" fillId="0" borderId="0" xfId="0" applyFont="1" applyFill="1" applyAlignment="1">
      <alignment horizontal="center" vertical="center" wrapText="1"/>
    </xf>
    <xf numFmtId="0" fontId="13" fillId="0" borderId="0" xfId="0" applyFont="1" applyFill="1" applyAlignment="1">
      <alignment horizontal="left" wrapText="1"/>
    </xf>
    <xf numFmtId="0" fontId="21" fillId="0" borderId="0" xfId="0" applyFont="1" applyAlignment="1">
      <alignment horizontal="left" vertical="center" wrapText="1"/>
    </xf>
    <xf numFmtId="0" fontId="15" fillId="0" borderId="0" xfId="0" applyFont="1" applyAlignment="1">
      <alignment horizontal="center" vertical="center" wrapText="1"/>
    </xf>
    <xf numFmtId="0" fontId="13" fillId="0" borderId="0" xfId="0" applyFont="1" applyFill="1" applyAlignment="1">
      <alignment horizontal="left" vertical="top" wrapText="1"/>
    </xf>
    <xf numFmtId="0" fontId="13" fillId="0" borderId="0" xfId="0" applyFont="1" applyAlignment="1">
      <alignment horizontal="left" wrapText="1"/>
    </xf>
    <xf numFmtId="0" fontId="0" fillId="0" borderId="25" xfId="0" applyBorder="1" applyAlignment="1">
      <alignment horizontal="center" wrapText="1"/>
    </xf>
    <xf numFmtId="0" fontId="0" fillId="0" borderId="0" xfId="0" applyBorder="1" applyAlignment="1">
      <alignment horizontal="center" vertical="center" wrapText="1"/>
    </xf>
    <xf numFmtId="0" fontId="0" fillId="0" borderId="24" xfId="0" applyBorder="1" applyAlignment="1">
      <alignment horizontal="center" vertical="center" wrapText="1"/>
    </xf>
    <xf numFmtId="0" fontId="0" fillId="0" borderId="25" xfId="0" applyBorder="1" applyAlignment="1">
      <alignment horizontal="center" vertical="center" wrapText="1"/>
    </xf>
    <xf numFmtId="0" fontId="1" fillId="0" borderId="0" xfId="0" applyFont="1" applyBorder="1" applyAlignment="1">
      <alignment horizontal="center" vertical="center"/>
    </xf>
    <xf numFmtId="0" fontId="1" fillId="0" borderId="24" xfId="0" applyFont="1" applyBorder="1" applyAlignment="1">
      <alignment horizontal="center" vertical="center"/>
    </xf>
    <xf numFmtId="0" fontId="1" fillId="0" borderId="25" xfId="0" applyFont="1" applyBorder="1" applyAlignment="1">
      <alignment horizontal="center" vertical="center"/>
    </xf>
    <xf numFmtId="0" fontId="1" fillId="0" borderId="0" xfId="0" applyFont="1" applyAlignment="1">
      <alignment horizontal="left"/>
    </xf>
    <xf numFmtId="0" fontId="0" fillId="0" borderId="0" xfId="0" applyFont="1" applyAlignment="1">
      <alignment horizontal="left" vertical="center" wrapText="1"/>
    </xf>
    <xf numFmtId="0" fontId="0" fillId="0" borderId="0" xfId="0" applyAlignment="1">
      <alignment horizontal="center" vertical="center" wrapText="1"/>
    </xf>
    <xf numFmtId="0" fontId="18" fillId="2" borderId="19" xfId="0" applyFont="1" applyFill="1" applyBorder="1" applyAlignment="1">
      <alignment horizontal="center" vertical="top" wrapText="1"/>
    </xf>
    <xf numFmtId="0" fontId="18" fillId="2" borderId="10" xfId="0" applyFont="1" applyFill="1" applyBorder="1" applyAlignment="1">
      <alignment horizontal="center" vertical="top" wrapText="1"/>
    </xf>
    <xf numFmtId="0" fontId="18" fillId="2" borderId="20" xfId="0" applyFont="1" applyFill="1" applyBorder="1" applyAlignment="1">
      <alignment horizontal="center" vertical="top" wrapText="1"/>
    </xf>
    <xf numFmtId="0" fontId="18" fillId="2" borderId="4" xfId="0" applyFont="1" applyFill="1" applyBorder="1" applyAlignment="1">
      <alignment horizontal="center" vertical="top" wrapText="1"/>
    </xf>
    <xf numFmtId="0" fontId="18" fillId="2" borderId="0" xfId="0" applyFont="1" applyFill="1" applyBorder="1" applyAlignment="1">
      <alignment horizontal="center" vertical="top" wrapText="1"/>
    </xf>
    <xf numFmtId="0" fontId="18" fillId="2" borderId="5" xfId="0" applyFont="1" applyFill="1" applyBorder="1" applyAlignment="1">
      <alignment horizontal="center" vertical="top" wrapText="1"/>
    </xf>
    <xf numFmtId="0" fontId="18" fillId="2" borderId="6" xfId="0" applyFont="1" applyFill="1" applyBorder="1" applyAlignment="1">
      <alignment horizontal="center" vertical="top" wrapText="1"/>
    </xf>
    <xf numFmtId="0" fontId="18" fillId="2" borderId="9" xfId="0" applyFont="1" applyFill="1" applyBorder="1" applyAlignment="1">
      <alignment horizontal="center" vertical="top" wrapText="1"/>
    </xf>
    <xf numFmtId="0" fontId="18" fillId="2" borderId="7" xfId="0" applyFont="1" applyFill="1" applyBorder="1" applyAlignment="1">
      <alignment horizontal="center" vertical="top" wrapText="1"/>
    </xf>
    <xf numFmtId="0" fontId="10" fillId="3" borderId="0" xfId="0" applyFont="1" applyFill="1" applyAlignment="1">
      <alignment horizontal="center" vertical="center" textRotation="90" wrapText="1"/>
    </xf>
    <xf numFmtId="0" fontId="0" fillId="7" borderId="0" xfId="0" applyFill="1" applyAlignment="1">
      <alignment horizontal="center" vertical="center" textRotation="90"/>
    </xf>
    <xf numFmtId="0" fontId="0" fillId="8" borderId="0" xfId="0" applyFill="1" applyAlignment="1">
      <alignment horizontal="center" vertical="center" textRotation="90"/>
    </xf>
    <xf numFmtId="0" fontId="1" fillId="0" borderId="0" xfId="0" applyFont="1" applyAlignment="1">
      <alignment horizontal="center" vertical="center"/>
    </xf>
    <xf numFmtId="0" fontId="9" fillId="0" borderId="0" xfId="0" applyFont="1" applyAlignment="1">
      <alignment horizontal="center" vertical="center"/>
    </xf>
    <xf numFmtId="0" fontId="0" fillId="2" borderId="11" xfId="0" applyFill="1" applyBorder="1" applyAlignment="1">
      <alignment horizontal="center" vertical="center" wrapText="1"/>
    </xf>
    <xf numFmtId="0" fontId="0" fillId="2" borderId="12"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14" xfId="0" applyFill="1" applyBorder="1" applyAlignment="1">
      <alignment horizontal="center" vertical="center" wrapText="1"/>
    </xf>
    <xf numFmtId="0" fontId="0" fillId="2" borderId="0" xfId="0" applyFill="1" applyBorder="1" applyAlignment="1">
      <alignment horizontal="center" vertical="center" wrapText="1"/>
    </xf>
    <xf numFmtId="0" fontId="0" fillId="2" borderId="15" xfId="0" applyFill="1" applyBorder="1" applyAlignment="1">
      <alignment horizontal="center" vertical="center" wrapText="1"/>
    </xf>
    <xf numFmtId="0" fontId="0" fillId="2" borderId="16" xfId="0" applyFill="1" applyBorder="1" applyAlignment="1">
      <alignment horizontal="center" vertical="center" wrapText="1"/>
    </xf>
    <xf numFmtId="0" fontId="0" fillId="2" borderId="17" xfId="0" applyFill="1" applyBorder="1" applyAlignment="1">
      <alignment horizontal="center" vertical="center" wrapText="1"/>
    </xf>
    <xf numFmtId="0" fontId="0" fillId="2" borderId="18" xfId="0" applyFill="1" applyBorder="1" applyAlignment="1">
      <alignment horizontal="center" vertical="center" wrapText="1"/>
    </xf>
    <xf numFmtId="0" fontId="8" fillId="0" borderId="0" xfId="0" applyFont="1" applyAlignment="1">
      <alignment horizontal="center" vertical="center"/>
    </xf>
    <xf numFmtId="0" fontId="0" fillId="10" borderId="0" xfId="0" applyFill="1" applyAlignment="1">
      <alignment horizontal="center" vertical="center" textRotation="90"/>
    </xf>
    <xf numFmtId="0" fontId="0" fillId="0" borderId="0" xfId="0" applyAlignment="1">
      <alignment horizontal="left" vertical="center" wrapText="1"/>
    </xf>
    <xf numFmtId="0" fontId="0" fillId="0" borderId="0" xfId="0" applyFill="1" applyAlignment="1">
      <alignment horizontal="center" vertical="center" wrapText="1"/>
    </xf>
    <xf numFmtId="0" fontId="16" fillId="10" borderId="0" xfId="0" applyFont="1" applyFill="1" applyBorder="1" applyAlignment="1">
      <alignment horizontal="center" vertical="center"/>
    </xf>
    <xf numFmtId="0" fontId="16" fillId="7" borderId="0" xfId="0" applyFont="1" applyFill="1" applyBorder="1" applyAlignment="1">
      <alignment horizontal="center" vertical="center"/>
    </xf>
    <xf numFmtId="0" fontId="17" fillId="8" borderId="0" xfId="0" applyFont="1" applyFill="1" applyBorder="1" applyAlignment="1">
      <alignment horizontal="center" vertical="center"/>
    </xf>
    <xf numFmtId="0" fontId="2" fillId="0" borderId="0" xfId="0" applyFont="1" applyBorder="1" applyAlignment="1">
      <alignment vertical="center"/>
    </xf>
    <xf numFmtId="0" fontId="2" fillId="0" borderId="0" xfId="0" applyFont="1" applyAlignment="1">
      <alignment horizontal="center" vertical="center"/>
    </xf>
  </cellXfs>
  <cellStyles count="1">
    <cellStyle name="Normal" xfId="0" builtinId="0"/>
  </cellStyles>
  <dxfs count="47">
    <dxf>
      <font>
        <color theme="0"/>
      </font>
      <fill>
        <patternFill>
          <bgColor rgb="FFA8D08E"/>
        </patternFill>
      </fill>
    </dxf>
    <dxf>
      <font>
        <color theme="0"/>
      </font>
      <fill>
        <patternFill>
          <bgColor rgb="FFFFE999"/>
        </patternFill>
      </fill>
    </dxf>
    <dxf>
      <font>
        <color theme="0"/>
      </font>
      <fill>
        <patternFill>
          <bgColor rgb="FFF4B084"/>
        </patternFill>
      </fill>
    </dxf>
    <dxf>
      <font>
        <color theme="0"/>
      </font>
      <fill>
        <patternFill>
          <fgColor auto="1"/>
          <bgColor rgb="FFF44242"/>
        </patternFill>
      </fill>
    </dxf>
    <dxf>
      <font>
        <color theme="0"/>
      </font>
      <fill>
        <patternFill>
          <bgColor rgb="FFA8D08E"/>
        </patternFill>
      </fill>
    </dxf>
    <dxf>
      <font>
        <color theme="0"/>
      </font>
      <fill>
        <patternFill>
          <bgColor rgb="FFFFE999"/>
        </patternFill>
      </fill>
    </dxf>
    <dxf>
      <font>
        <color theme="0"/>
      </font>
      <fill>
        <patternFill>
          <bgColor rgb="FFF4B084"/>
        </patternFill>
      </fill>
    </dxf>
    <dxf>
      <font>
        <color theme="0"/>
      </font>
      <fill>
        <patternFill>
          <fgColor auto="1"/>
          <bgColor rgb="FFF44242"/>
        </patternFill>
      </fill>
    </dxf>
    <dxf>
      <fill>
        <patternFill>
          <fgColor rgb="FFF4B084"/>
          <bgColor rgb="FFF4B084"/>
        </patternFill>
      </fill>
    </dxf>
    <dxf>
      <font>
        <color theme="0"/>
      </font>
      <fill>
        <patternFill>
          <bgColor rgb="FFA8D08E"/>
        </patternFill>
      </fill>
    </dxf>
    <dxf>
      <font>
        <color theme="0"/>
      </font>
      <fill>
        <patternFill>
          <bgColor rgb="FFFFE999"/>
        </patternFill>
      </fill>
    </dxf>
    <dxf>
      <font>
        <color theme="0"/>
      </font>
      <fill>
        <patternFill>
          <bgColor rgb="FFF4B084"/>
        </patternFill>
      </fill>
    </dxf>
    <dxf>
      <font>
        <color theme="0"/>
      </font>
      <fill>
        <patternFill>
          <fgColor auto="1"/>
          <bgColor rgb="FFF44242"/>
        </patternFill>
      </fill>
    </dxf>
    <dxf>
      <fill>
        <patternFill>
          <bgColor rgb="FFFFE999"/>
        </patternFill>
      </fill>
    </dxf>
    <dxf>
      <font>
        <color theme="0"/>
      </font>
      <fill>
        <patternFill>
          <bgColor rgb="FFA8D08E"/>
        </patternFill>
      </fill>
    </dxf>
    <dxf>
      <font>
        <color theme="0"/>
      </font>
      <fill>
        <patternFill>
          <bgColor rgb="FFFFE999"/>
        </patternFill>
      </fill>
    </dxf>
    <dxf>
      <font>
        <color theme="0"/>
      </font>
      <fill>
        <patternFill>
          <bgColor rgb="FFF4B084"/>
        </patternFill>
      </fill>
    </dxf>
    <dxf>
      <font>
        <color theme="0"/>
      </font>
      <fill>
        <patternFill>
          <fgColor auto="1"/>
          <bgColor rgb="FFF44242"/>
        </patternFill>
      </fill>
    </dxf>
    <dxf>
      <fill>
        <patternFill>
          <bgColor rgb="FFFFE999"/>
        </patternFill>
      </fill>
    </dxf>
    <dxf>
      <font>
        <color theme="0"/>
      </font>
      <fill>
        <patternFill>
          <bgColor rgb="FFA8D08E"/>
        </patternFill>
      </fill>
    </dxf>
    <dxf>
      <font>
        <color theme="0"/>
      </font>
      <fill>
        <patternFill>
          <bgColor rgb="FFFFE999"/>
        </patternFill>
      </fill>
    </dxf>
    <dxf>
      <font>
        <color theme="0"/>
      </font>
      <fill>
        <patternFill>
          <bgColor rgb="FFF4B084"/>
        </patternFill>
      </fill>
    </dxf>
    <dxf>
      <font>
        <color theme="0"/>
      </font>
      <fill>
        <patternFill>
          <fgColor auto="1"/>
          <bgColor rgb="FFF44242"/>
        </patternFill>
      </fill>
    </dxf>
    <dxf>
      <font>
        <color theme="0"/>
      </font>
      <fill>
        <patternFill>
          <bgColor rgb="FFA8D08E"/>
        </patternFill>
      </fill>
    </dxf>
    <dxf>
      <font>
        <color theme="0"/>
      </font>
      <fill>
        <patternFill>
          <bgColor rgb="FFFFE999"/>
        </patternFill>
      </fill>
    </dxf>
    <dxf>
      <font>
        <color theme="0"/>
      </font>
      <fill>
        <patternFill>
          <bgColor rgb="FFF4B084"/>
        </patternFill>
      </fill>
    </dxf>
    <dxf>
      <font>
        <color theme="0"/>
      </font>
      <fill>
        <patternFill>
          <fgColor auto="1"/>
          <bgColor rgb="FFF44242"/>
        </patternFill>
      </fill>
    </dxf>
    <dxf>
      <font>
        <color rgb="FF476D2D"/>
      </font>
      <fill>
        <patternFill>
          <bgColor rgb="FFA8D08E"/>
        </patternFill>
      </fill>
    </dxf>
    <dxf>
      <font>
        <color rgb="FFB48D00"/>
      </font>
      <fill>
        <patternFill>
          <bgColor rgb="FFFFE999"/>
        </patternFill>
      </fill>
    </dxf>
    <dxf>
      <font>
        <color rgb="FFE26214"/>
      </font>
      <fill>
        <patternFill>
          <bgColor rgb="FFF4B084"/>
        </patternFill>
      </fill>
    </dxf>
    <dxf>
      <font>
        <color theme="0"/>
      </font>
      <fill>
        <patternFill>
          <fgColor auto="1"/>
          <bgColor rgb="FFF44242"/>
        </patternFill>
      </fill>
    </dxf>
    <dxf>
      <font>
        <color rgb="FF476D2D"/>
      </font>
      <fill>
        <patternFill>
          <bgColor rgb="FFA8D08E"/>
        </patternFill>
      </fill>
    </dxf>
    <dxf>
      <font>
        <color rgb="FFB48D00"/>
      </font>
      <fill>
        <patternFill>
          <bgColor rgb="FFFFE999"/>
        </patternFill>
      </fill>
    </dxf>
    <dxf>
      <font>
        <color rgb="FFE26214"/>
      </font>
      <fill>
        <patternFill>
          <bgColor rgb="FFF4B084"/>
        </patternFill>
      </fill>
    </dxf>
    <dxf>
      <font>
        <color theme="0"/>
      </font>
      <fill>
        <patternFill>
          <fgColor auto="1"/>
          <bgColor rgb="FFF44242"/>
        </patternFill>
      </fill>
    </dxf>
    <dxf>
      <font>
        <color rgb="FF476D2D"/>
      </font>
      <fill>
        <patternFill>
          <bgColor rgb="FFA8D08E"/>
        </patternFill>
      </fill>
    </dxf>
    <dxf>
      <font>
        <color rgb="FFB48D00"/>
      </font>
      <fill>
        <patternFill>
          <bgColor rgb="FFFFE999"/>
        </patternFill>
      </fill>
    </dxf>
    <dxf>
      <font>
        <color rgb="FFE26214"/>
      </font>
      <fill>
        <patternFill>
          <bgColor rgb="FFF4B084"/>
        </patternFill>
      </fill>
    </dxf>
    <dxf>
      <font>
        <color theme="0"/>
      </font>
      <fill>
        <patternFill>
          <fgColor auto="1"/>
          <bgColor rgb="FFF44242"/>
        </patternFill>
      </fill>
    </dxf>
    <dxf>
      <font>
        <color rgb="FF476D2D"/>
      </font>
      <fill>
        <patternFill>
          <bgColor rgb="FFA8D08E"/>
        </patternFill>
      </fill>
    </dxf>
    <dxf>
      <font>
        <color rgb="FFB48D00"/>
      </font>
      <fill>
        <patternFill>
          <bgColor rgb="FFFFE999"/>
        </patternFill>
      </fill>
    </dxf>
    <dxf>
      <font>
        <color rgb="FFE26214"/>
      </font>
      <fill>
        <patternFill>
          <bgColor rgb="FFF4B084"/>
        </patternFill>
      </fill>
    </dxf>
    <dxf>
      <font>
        <color theme="0"/>
      </font>
      <fill>
        <patternFill>
          <fgColor auto="1"/>
          <bgColor rgb="FFF44242"/>
        </patternFill>
      </fill>
    </dxf>
    <dxf>
      <font>
        <color rgb="FF476D2D"/>
      </font>
      <fill>
        <patternFill>
          <bgColor rgb="FFA8D08E"/>
        </patternFill>
      </fill>
    </dxf>
    <dxf>
      <font>
        <color rgb="FFB48D00"/>
      </font>
      <fill>
        <patternFill>
          <bgColor rgb="FFFFE999"/>
        </patternFill>
      </fill>
    </dxf>
    <dxf>
      <font>
        <color rgb="FFE26214"/>
      </font>
      <fill>
        <patternFill>
          <bgColor rgb="FFF4B084"/>
        </patternFill>
      </fill>
    </dxf>
    <dxf>
      <font>
        <color theme="0"/>
      </font>
      <fill>
        <patternFill>
          <fgColor auto="1"/>
          <bgColor rgb="FFF44242"/>
        </patternFill>
      </fill>
    </dxf>
  </dxfs>
  <tableStyles count="0" defaultTableStyle="TableStyleMedium2" defaultPivotStyle="PivotStyleLight16"/>
  <colors>
    <mruColors>
      <color rgb="FF476D2D"/>
      <color rgb="FFE26214"/>
      <color rgb="FFB48D00"/>
      <color rgb="FFA8D08E"/>
      <color rgb="FFE6B500"/>
      <color rgb="FFFFE999"/>
      <color rgb="FFF4B084"/>
      <color rgb="FF8CC63F"/>
      <color rgb="FFF44242"/>
      <color rgb="FF0075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2.jpe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cid:image001.jpg@01D78F8F.445315B0"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4.jpeg"/><Relationship Id="rId1" Type="http://schemas.openxmlformats.org/officeDocument/2006/relationships/image" Target="../media/image3.jpeg"/><Relationship Id="rId4" Type="http://schemas.microsoft.com/office/2007/relationships/hdphoto" Target="../media/hdphoto1.wdp"/></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182033</xdr:colOff>
      <xdr:row>0</xdr:row>
      <xdr:rowOff>0</xdr:rowOff>
    </xdr:from>
    <xdr:to>
      <xdr:col>5</xdr:col>
      <xdr:colOff>215542</xdr:colOff>
      <xdr:row>3</xdr:row>
      <xdr:rowOff>53042</xdr:rowOff>
    </xdr:to>
    <xdr:pic>
      <xdr:nvPicPr>
        <xdr:cNvPr id="4" name="Picture 3" descr="Home | City of Vancouver"/>
        <xdr:cNvPicPr>
          <a:picLocks noChangeAspect="1" noChangeArrowheads="1"/>
        </xdr:cNvPicPr>
      </xdr:nvPicPr>
      <xdr:blipFill rotWithShape="1">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t="11231"/>
        <a:stretch/>
      </xdr:blipFill>
      <xdr:spPr bwMode="auto">
        <a:xfrm>
          <a:off x="563033" y="0"/>
          <a:ext cx="1532109" cy="704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211667</xdr:colOff>
      <xdr:row>0</xdr:row>
      <xdr:rowOff>177800</xdr:rowOff>
    </xdr:from>
    <xdr:to>
      <xdr:col>22</xdr:col>
      <xdr:colOff>560493</xdr:colOff>
      <xdr:row>2</xdr:row>
      <xdr:rowOff>171027</xdr:rowOff>
    </xdr:to>
    <xdr:pic>
      <xdr:nvPicPr>
        <xdr:cNvPr id="6" name="Picture 5">
          <a:extLst>
            <a:ext uri="{FF2B5EF4-FFF2-40B4-BE49-F238E27FC236}">
              <a16:creationId xmlns="" xmlns:a16="http://schemas.microsoft.com/office/drawing/2014/main" id="{723092E9-7EAD-4511-B3E7-1001D4C76685}"/>
            </a:ext>
          </a:extLst>
        </xdr:cNvPr>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5308600" y="177800"/>
          <a:ext cx="2423160" cy="36576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105509</xdr:colOff>
      <xdr:row>19</xdr:row>
      <xdr:rowOff>171449</xdr:rowOff>
    </xdr:from>
    <xdr:to>
      <xdr:col>1</xdr:col>
      <xdr:colOff>381013</xdr:colOff>
      <xdr:row>27</xdr:row>
      <xdr:rowOff>146748</xdr:rowOff>
    </xdr:to>
    <xdr:pic>
      <xdr:nvPicPr>
        <xdr:cNvPr id="17" name="Picture 16" descr="Diagram showing the hierarchy of controls"/>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325" t="15460" r="85764" b="1882"/>
        <a:stretch/>
      </xdr:blipFill>
      <xdr:spPr bwMode="auto">
        <a:xfrm>
          <a:off x="716086" y="3834911"/>
          <a:ext cx="275504" cy="14732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392234</xdr:colOff>
      <xdr:row>20</xdr:row>
      <xdr:rowOff>30283</xdr:rowOff>
    </xdr:from>
    <xdr:to>
      <xdr:col>6</xdr:col>
      <xdr:colOff>317499</xdr:colOff>
      <xdr:row>28</xdr:row>
      <xdr:rowOff>4174</xdr:rowOff>
    </xdr:to>
    <xdr:pic>
      <xdr:nvPicPr>
        <xdr:cNvPr id="16" name="Picture 15" descr="Diagram showing the hierarchy of controls"/>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6170" t="17342" r="9005"/>
        <a:stretch/>
      </xdr:blipFill>
      <xdr:spPr bwMode="auto">
        <a:xfrm>
          <a:off x="1002811" y="3880988"/>
          <a:ext cx="2978150" cy="14718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33777</xdr:colOff>
      <xdr:row>0</xdr:row>
      <xdr:rowOff>0</xdr:rowOff>
    </xdr:from>
    <xdr:to>
      <xdr:col>6</xdr:col>
      <xdr:colOff>385303</xdr:colOff>
      <xdr:row>3</xdr:row>
      <xdr:rowOff>37799</xdr:rowOff>
    </xdr:to>
    <xdr:pic>
      <xdr:nvPicPr>
        <xdr:cNvPr id="2" name="Picture 1" descr="Home | City of Vancouver"/>
        <xdr:cNvPicPr>
          <a:picLocks noChangeAspect="1" noChangeArrowheads="1"/>
        </xdr:cNvPicPr>
      </xdr:nvPicPr>
      <xdr:blipFill rotWithShape="1">
        <a:blip xmlns:r="http://schemas.openxmlformats.org/officeDocument/2006/relationships" r:embed="rId3" cstate="print">
          <a:biLevel thresh="75000"/>
          <a:extLst>
            <a:ext uri="{BEBA8EAE-BF5A-486C-A8C5-ECC9F3942E4B}">
              <a14:imgProps xmlns:a14="http://schemas.microsoft.com/office/drawing/2010/main">
                <a14:imgLayer r:embed="rId4">
                  <a14:imgEffect>
                    <a14:saturation sat="0"/>
                  </a14:imgEffect>
                </a14:imgLayer>
              </a14:imgProps>
            </a:ext>
            <a:ext uri="{28A0092B-C50C-407E-A947-70E740481C1C}">
              <a14:useLocalDpi xmlns:a14="http://schemas.microsoft.com/office/drawing/2010/main" val="0"/>
            </a:ext>
          </a:extLst>
        </a:blip>
        <a:srcRect t="11231"/>
        <a:stretch/>
      </xdr:blipFill>
      <xdr:spPr bwMode="auto">
        <a:xfrm>
          <a:off x="2522977" y="0"/>
          <a:ext cx="1585229" cy="7014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513405</xdr:colOff>
      <xdr:row>1</xdr:row>
      <xdr:rowOff>1</xdr:rowOff>
    </xdr:from>
    <xdr:to>
      <xdr:col>6</xdr:col>
      <xdr:colOff>520282</xdr:colOff>
      <xdr:row>2</xdr:row>
      <xdr:rowOff>108604</xdr:rowOff>
    </xdr:to>
    <xdr:cxnSp macro="">
      <xdr:nvCxnSpPr>
        <xdr:cNvPr id="3" name="Straight Connector 2"/>
        <xdr:cNvCxnSpPr/>
      </xdr:nvCxnSpPr>
      <xdr:spPr>
        <a:xfrm flipV="1">
          <a:off x="4247205" y="298451"/>
          <a:ext cx="6877" cy="29275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0</xdr:colOff>
      <xdr:row>33</xdr:row>
      <xdr:rowOff>60474</xdr:rowOff>
    </xdr:from>
    <xdr:to>
      <xdr:col>6</xdr:col>
      <xdr:colOff>339621</xdr:colOff>
      <xdr:row>36</xdr:row>
      <xdr:rowOff>86141</xdr:rowOff>
    </xdr:to>
    <xdr:pic>
      <xdr:nvPicPr>
        <xdr:cNvPr id="6" name="Picture 5" descr="Home | City of Vancouver"/>
        <xdr:cNvPicPr>
          <a:picLocks noChangeAspect="1" noChangeArrowheads="1"/>
        </xdr:cNvPicPr>
      </xdr:nvPicPr>
      <xdr:blipFill rotWithShape="1">
        <a:blip xmlns:r="http://schemas.openxmlformats.org/officeDocument/2006/relationships" r:embed="rId3" cstate="print">
          <a:biLevel thresh="75000"/>
          <a:extLst>
            <a:ext uri="{BEBA8EAE-BF5A-486C-A8C5-ECC9F3942E4B}">
              <a14:imgProps xmlns:a14="http://schemas.microsoft.com/office/drawing/2010/main">
                <a14:imgLayer r:embed="rId4">
                  <a14:imgEffect>
                    <a14:saturation sat="0"/>
                  </a14:imgEffect>
                </a14:imgLayer>
              </a14:imgProps>
            </a:ext>
            <a:ext uri="{28A0092B-C50C-407E-A947-70E740481C1C}">
              <a14:useLocalDpi xmlns:a14="http://schemas.microsoft.com/office/drawing/2010/main" val="0"/>
            </a:ext>
          </a:extLst>
        </a:blip>
        <a:srcRect t="11231"/>
        <a:stretch/>
      </xdr:blipFill>
      <xdr:spPr bwMode="auto">
        <a:xfrm>
          <a:off x="2438400" y="6251724"/>
          <a:ext cx="1558821" cy="6924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478620</xdr:colOff>
      <xdr:row>34</xdr:row>
      <xdr:rowOff>54427</xdr:rowOff>
    </xdr:from>
    <xdr:to>
      <xdr:col>6</xdr:col>
      <xdr:colOff>485497</xdr:colOff>
      <xdr:row>35</xdr:row>
      <xdr:rowOff>161519</xdr:rowOff>
    </xdr:to>
    <xdr:cxnSp macro="">
      <xdr:nvCxnSpPr>
        <xdr:cNvPr id="7" name="Straight Connector 6"/>
        <xdr:cNvCxnSpPr/>
      </xdr:nvCxnSpPr>
      <xdr:spPr>
        <a:xfrm flipV="1">
          <a:off x="4228144" y="6485062"/>
          <a:ext cx="6877" cy="28852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0</xdr:colOff>
      <xdr:row>66</xdr:row>
      <xdr:rowOff>0</xdr:rowOff>
    </xdr:from>
    <xdr:to>
      <xdr:col>6</xdr:col>
      <xdr:colOff>339621</xdr:colOff>
      <xdr:row>69</xdr:row>
      <xdr:rowOff>25669</xdr:rowOff>
    </xdr:to>
    <xdr:pic>
      <xdr:nvPicPr>
        <xdr:cNvPr id="8" name="Picture 7" descr="Home | City of Vancouver"/>
        <xdr:cNvPicPr>
          <a:picLocks noChangeAspect="1" noChangeArrowheads="1"/>
        </xdr:cNvPicPr>
      </xdr:nvPicPr>
      <xdr:blipFill rotWithShape="1">
        <a:blip xmlns:r="http://schemas.openxmlformats.org/officeDocument/2006/relationships" r:embed="rId3" cstate="print">
          <a:biLevel thresh="75000"/>
          <a:extLst>
            <a:ext uri="{BEBA8EAE-BF5A-486C-A8C5-ECC9F3942E4B}">
              <a14:imgProps xmlns:a14="http://schemas.microsoft.com/office/drawing/2010/main">
                <a14:imgLayer r:embed="rId4">
                  <a14:imgEffect>
                    <a14:saturation sat="0"/>
                  </a14:imgEffect>
                </a14:imgLayer>
              </a14:imgProps>
            </a:ext>
            <a:ext uri="{28A0092B-C50C-407E-A947-70E740481C1C}">
              <a14:useLocalDpi xmlns:a14="http://schemas.microsoft.com/office/drawing/2010/main" val="0"/>
            </a:ext>
          </a:extLst>
        </a:blip>
        <a:srcRect t="11231"/>
        <a:stretch/>
      </xdr:blipFill>
      <xdr:spPr bwMode="auto">
        <a:xfrm>
          <a:off x="2498361" y="12585492"/>
          <a:ext cx="1588801" cy="702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478620</xdr:colOff>
      <xdr:row>66</xdr:row>
      <xdr:rowOff>295838</xdr:rowOff>
    </xdr:from>
    <xdr:to>
      <xdr:col>6</xdr:col>
      <xdr:colOff>485497</xdr:colOff>
      <xdr:row>68</xdr:row>
      <xdr:rowOff>101045</xdr:rowOff>
    </xdr:to>
    <xdr:cxnSp macro="">
      <xdr:nvCxnSpPr>
        <xdr:cNvPr id="9" name="Straight Connector 8"/>
        <xdr:cNvCxnSpPr/>
      </xdr:nvCxnSpPr>
      <xdr:spPr>
        <a:xfrm flipV="1">
          <a:off x="4226161" y="12881330"/>
          <a:ext cx="6877" cy="29446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0</xdr:colOff>
      <xdr:row>99</xdr:row>
      <xdr:rowOff>0</xdr:rowOff>
    </xdr:from>
    <xdr:to>
      <xdr:col>6</xdr:col>
      <xdr:colOff>339621</xdr:colOff>
      <xdr:row>102</xdr:row>
      <xdr:rowOff>25668</xdr:rowOff>
    </xdr:to>
    <xdr:pic>
      <xdr:nvPicPr>
        <xdr:cNvPr id="10" name="Picture 9" descr="Home | City of Vancouver"/>
        <xdr:cNvPicPr>
          <a:picLocks noChangeAspect="1" noChangeArrowheads="1"/>
        </xdr:cNvPicPr>
      </xdr:nvPicPr>
      <xdr:blipFill rotWithShape="1">
        <a:blip xmlns:r="http://schemas.openxmlformats.org/officeDocument/2006/relationships" r:embed="rId3" cstate="print">
          <a:biLevel thresh="75000"/>
          <a:extLst>
            <a:ext uri="{BEBA8EAE-BF5A-486C-A8C5-ECC9F3942E4B}">
              <a14:imgProps xmlns:a14="http://schemas.microsoft.com/office/drawing/2010/main">
                <a14:imgLayer r:embed="rId4">
                  <a14:imgEffect>
                    <a14:saturation sat="0"/>
                  </a14:imgEffect>
                </a14:imgLayer>
              </a14:imgProps>
            </a:ext>
            <a:ext uri="{28A0092B-C50C-407E-A947-70E740481C1C}">
              <a14:useLocalDpi xmlns:a14="http://schemas.microsoft.com/office/drawing/2010/main" val="0"/>
            </a:ext>
          </a:extLst>
        </a:blip>
        <a:srcRect t="11231"/>
        <a:stretch/>
      </xdr:blipFill>
      <xdr:spPr bwMode="auto">
        <a:xfrm>
          <a:off x="2498361" y="18883443"/>
          <a:ext cx="1588801" cy="702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478620</xdr:colOff>
      <xdr:row>99</xdr:row>
      <xdr:rowOff>295838</xdr:rowOff>
    </xdr:from>
    <xdr:to>
      <xdr:col>6</xdr:col>
      <xdr:colOff>485497</xdr:colOff>
      <xdr:row>101</xdr:row>
      <xdr:rowOff>101045</xdr:rowOff>
    </xdr:to>
    <xdr:cxnSp macro="">
      <xdr:nvCxnSpPr>
        <xdr:cNvPr id="11" name="Straight Connector 10"/>
        <xdr:cNvCxnSpPr/>
      </xdr:nvCxnSpPr>
      <xdr:spPr>
        <a:xfrm flipV="1">
          <a:off x="4226161" y="19179281"/>
          <a:ext cx="6877" cy="29446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0</xdr:colOff>
      <xdr:row>132</xdr:row>
      <xdr:rowOff>0</xdr:rowOff>
    </xdr:from>
    <xdr:to>
      <xdr:col>6</xdr:col>
      <xdr:colOff>339621</xdr:colOff>
      <xdr:row>135</xdr:row>
      <xdr:rowOff>25667</xdr:rowOff>
    </xdr:to>
    <xdr:pic>
      <xdr:nvPicPr>
        <xdr:cNvPr id="12" name="Picture 11" descr="Home | City of Vancouver"/>
        <xdr:cNvPicPr>
          <a:picLocks noChangeAspect="1" noChangeArrowheads="1"/>
        </xdr:cNvPicPr>
      </xdr:nvPicPr>
      <xdr:blipFill rotWithShape="1">
        <a:blip xmlns:r="http://schemas.openxmlformats.org/officeDocument/2006/relationships" r:embed="rId3" cstate="print">
          <a:biLevel thresh="75000"/>
          <a:extLst>
            <a:ext uri="{BEBA8EAE-BF5A-486C-A8C5-ECC9F3942E4B}">
              <a14:imgProps xmlns:a14="http://schemas.microsoft.com/office/drawing/2010/main">
                <a14:imgLayer r:embed="rId4">
                  <a14:imgEffect>
                    <a14:saturation sat="0"/>
                  </a14:imgEffect>
                </a14:imgLayer>
              </a14:imgProps>
            </a:ext>
            <a:ext uri="{28A0092B-C50C-407E-A947-70E740481C1C}">
              <a14:useLocalDpi xmlns:a14="http://schemas.microsoft.com/office/drawing/2010/main" val="0"/>
            </a:ext>
          </a:extLst>
        </a:blip>
        <a:srcRect t="11231"/>
        <a:stretch/>
      </xdr:blipFill>
      <xdr:spPr bwMode="auto">
        <a:xfrm>
          <a:off x="2498361" y="25181393"/>
          <a:ext cx="1588801" cy="702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478620</xdr:colOff>
      <xdr:row>132</xdr:row>
      <xdr:rowOff>295838</xdr:rowOff>
    </xdr:from>
    <xdr:to>
      <xdr:col>6</xdr:col>
      <xdr:colOff>485497</xdr:colOff>
      <xdr:row>134</xdr:row>
      <xdr:rowOff>101044</xdr:rowOff>
    </xdr:to>
    <xdr:cxnSp macro="">
      <xdr:nvCxnSpPr>
        <xdr:cNvPr id="13" name="Straight Connector 12"/>
        <xdr:cNvCxnSpPr/>
      </xdr:nvCxnSpPr>
      <xdr:spPr>
        <a:xfrm flipV="1">
          <a:off x="4226161" y="25477231"/>
          <a:ext cx="6877" cy="29446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0</xdr:colOff>
      <xdr:row>165</xdr:row>
      <xdr:rowOff>57713</xdr:rowOff>
    </xdr:from>
    <xdr:to>
      <xdr:col>6</xdr:col>
      <xdr:colOff>339621</xdr:colOff>
      <xdr:row>168</xdr:row>
      <xdr:rowOff>83382</xdr:rowOff>
    </xdr:to>
    <xdr:pic>
      <xdr:nvPicPr>
        <xdr:cNvPr id="14" name="Picture 13" descr="Home | City of Vancouver"/>
        <xdr:cNvPicPr>
          <a:picLocks noChangeAspect="1" noChangeArrowheads="1"/>
        </xdr:cNvPicPr>
      </xdr:nvPicPr>
      <xdr:blipFill rotWithShape="1">
        <a:blip xmlns:r="http://schemas.openxmlformats.org/officeDocument/2006/relationships" r:embed="rId3" cstate="print">
          <a:biLevel thresh="75000"/>
          <a:extLst>
            <a:ext uri="{BEBA8EAE-BF5A-486C-A8C5-ECC9F3942E4B}">
              <a14:imgProps xmlns:a14="http://schemas.microsoft.com/office/drawing/2010/main">
                <a14:imgLayer r:embed="rId4">
                  <a14:imgEffect>
                    <a14:saturation sat="0"/>
                  </a14:imgEffect>
                </a14:imgLayer>
              </a14:imgProps>
            </a:ext>
            <a:ext uri="{28A0092B-C50C-407E-A947-70E740481C1C}">
              <a14:useLocalDpi xmlns:a14="http://schemas.microsoft.com/office/drawing/2010/main" val="0"/>
            </a:ext>
          </a:extLst>
        </a:blip>
        <a:srcRect t="11231"/>
        <a:stretch/>
      </xdr:blipFill>
      <xdr:spPr bwMode="auto">
        <a:xfrm>
          <a:off x="2476500" y="30839338"/>
          <a:ext cx="1577871" cy="6924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478620</xdr:colOff>
      <xdr:row>166</xdr:row>
      <xdr:rowOff>52195</xdr:rowOff>
    </xdr:from>
    <xdr:to>
      <xdr:col>6</xdr:col>
      <xdr:colOff>485497</xdr:colOff>
      <xdr:row>167</xdr:row>
      <xdr:rowOff>158353</xdr:rowOff>
    </xdr:to>
    <xdr:cxnSp macro="">
      <xdr:nvCxnSpPr>
        <xdr:cNvPr id="15" name="Straight Connector 14"/>
        <xdr:cNvCxnSpPr/>
      </xdr:nvCxnSpPr>
      <xdr:spPr>
        <a:xfrm flipV="1">
          <a:off x="4193370" y="31135445"/>
          <a:ext cx="6877" cy="28872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oneCellAnchor>
    <xdr:from>
      <xdr:col>2</xdr:col>
      <xdr:colOff>258396</xdr:colOff>
      <xdr:row>28</xdr:row>
      <xdr:rowOff>39566</xdr:rowOff>
    </xdr:from>
    <xdr:ext cx="915700" cy="180755"/>
    <xdr:sp macro="" textlink="">
      <xdr:nvSpPr>
        <xdr:cNvPr id="4" name="TextBox 3"/>
        <xdr:cNvSpPr txBox="1"/>
      </xdr:nvSpPr>
      <xdr:spPr>
        <a:xfrm>
          <a:off x="1479550" y="5388220"/>
          <a:ext cx="915700" cy="180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CA" sz="600" b="0">
              <a:latin typeface="Arial" panose="020B0604020202020204" pitchFamily="34" charset="0"/>
              <a:cs typeface="Arial" panose="020B0604020202020204" pitchFamily="34" charset="0"/>
            </a:rPr>
            <a:t>Source: WorkSafeBC</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3</xdr:col>
      <xdr:colOff>28012</xdr:colOff>
      <xdr:row>0</xdr:row>
      <xdr:rowOff>18676</xdr:rowOff>
    </xdr:from>
    <xdr:to>
      <xdr:col>5</xdr:col>
      <xdr:colOff>378501</xdr:colOff>
      <xdr:row>3</xdr:row>
      <xdr:rowOff>158464</xdr:rowOff>
    </xdr:to>
    <xdr:pic>
      <xdr:nvPicPr>
        <xdr:cNvPr id="2" name="Picture 1" descr="Home | City of Vancouver"/>
        <xdr:cNvPicPr>
          <a:picLocks noChangeAspect="1" noChangeArrowheads="1"/>
        </xdr:cNvPicPr>
      </xdr:nvPicPr>
      <xdr:blipFill rotWithShape="1">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t="11231"/>
        <a:stretch/>
      </xdr:blipFill>
      <xdr:spPr bwMode="auto">
        <a:xfrm>
          <a:off x="2530659" y="18676"/>
          <a:ext cx="1601812" cy="7000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515941</xdr:colOff>
      <xdr:row>1</xdr:row>
      <xdr:rowOff>132588</xdr:rowOff>
    </xdr:from>
    <xdr:to>
      <xdr:col>5</xdr:col>
      <xdr:colOff>522818</xdr:colOff>
      <xdr:row>4</xdr:row>
      <xdr:rowOff>0</xdr:rowOff>
    </xdr:to>
    <xdr:cxnSp macro="">
      <xdr:nvCxnSpPr>
        <xdr:cNvPr id="3" name="Straight Connector 2"/>
        <xdr:cNvCxnSpPr/>
      </xdr:nvCxnSpPr>
      <xdr:spPr>
        <a:xfrm flipV="1">
          <a:off x="4269912" y="319353"/>
          <a:ext cx="6877" cy="28878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33777</xdr:colOff>
      <xdr:row>0</xdr:row>
      <xdr:rowOff>0</xdr:rowOff>
    </xdr:from>
    <xdr:to>
      <xdr:col>6</xdr:col>
      <xdr:colOff>374406</xdr:colOff>
      <xdr:row>3</xdr:row>
      <xdr:rowOff>34739</xdr:rowOff>
    </xdr:to>
    <xdr:pic>
      <xdr:nvPicPr>
        <xdr:cNvPr id="3" name="Picture 2" descr="Home | City of Vancouver"/>
        <xdr:cNvPicPr>
          <a:picLocks noChangeAspect="1" noChangeArrowheads="1"/>
        </xdr:cNvPicPr>
      </xdr:nvPicPr>
      <xdr:blipFill rotWithShape="1">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t="11231"/>
        <a:stretch/>
      </xdr:blipFill>
      <xdr:spPr bwMode="auto">
        <a:xfrm>
          <a:off x="2519734" y="0"/>
          <a:ext cx="1583608" cy="696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513405</xdr:colOff>
      <xdr:row>1</xdr:row>
      <xdr:rowOff>1</xdr:rowOff>
    </xdr:from>
    <xdr:to>
      <xdr:col>6</xdr:col>
      <xdr:colOff>520282</xdr:colOff>
      <xdr:row>2</xdr:row>
      <xdr:rowOff>108604</xdr:rowOff>
    </xdr:to>
    <xdr:cxnSp macro="">
      <xdr:nvCxnSpPr>
        <xdr:cNvPr id="4" name="Straight Connector 3"/>
        <xdr:cNvCxnSpPr/>
      </xdr:nvCxnSpPr>
      <xdr:spPr>
        <a:xfrm flipV="1">
          <a:off x="4242341" y="297235"/>
          <a:ext cx="6877" cy="29099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0</xdr:colOff>
      <xdr:row>33</xdr:row>
      <xdr:rowOff>0</xdr:rowOff>
    </xdr:from>
    <xdr:to>
      <xdr:col>6</xdr:col>
      <xdr:colOff>340629</xdr:colOff>
      <xdr:row>36</xdr:row>
      <xdr:rowOff>151156</xdr:rowOff>
    </xdr:to>
    <xdr:pic>
      <xdr:nvPicPr>
        <xdr:cNvPr id="5" name="Picture 4" descr="Home | City of Vancouver"/>
        <xdr:cNvPicPr>
          <a:picLocks noChangeAspect="1" noChangeArrowheads="1"/>
        </xdr:cNvPicPr>
      </xdr:nvPicPr>
      <xdr:blipFill rotWithShape="1">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t="11231"/>
        <a:stretch/>
      </xdr:blipFill>
      <xdr:spPr bwMode="auto">
        <a:xfrm>
          <a:off x="2497667" y="6074833"/>
          <a:ext cx="1589462" cy="6909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479628</xdr:colOff>
      <xdr:row>34</xdr:row>
      <xdr:rowOff>116417</xdr:rowOff>
    </xdr:from>
    <xdr:to>
      <xdr:col>6</xdr:col>
      <xdr:colOff>486505</xdr:colOff>
      <xdr:row>36</xdr:row>
      <xdr:rowOff>45104</xdr:rowOff>
    </xdr:to>
    <xdr:cxnSp macro="">
      <xdr:nvCxnSpPr>
        <xdr:cNvPr id="6" name="Straight Connector 5"/>
        <xdr:cNvCxnSpPr/>
      </xdr:nvCxnSpPr>
      <xdr:spPr>
        <a:xfrm flipV="1">
          <a:off x="4226128" y="6371167"/>
          <a:ext cx="6877" cy="28852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38102</xdr:colOff>
      <xdr:row>24</xdr:row>
      <xdr:rowOff>58731</xdr:rowOff>
    </xdr:from>
    <xdr:to>
      <xdr:col>1</xdr:col>
      <xdr:colOff>25003</xdr:colOff>
      <xdr:row>31</xdr:row>
      <xdr:rowOff>29656</xdr:rowOff>
    </xdr:to>
    <xdr:pic>
      <xdr:nvPicPr>
        <xdr:cNvPr id="2" name="Picture 1" descr="Home | City of Vancouver"/>
        <xdr:cNvPicPr>
          <a:picLocks noChangeAspect="1" noChangeArrowheads="1"/>
        </xdr:cNvPicPr>
      </xdr:nvPicPr>
      <xdr:blipFill rotWithShape="1">
        <a:blip xmlns:r="http://schemas.openxmlformats.org/officeDocument/2006/relationships" r:embed="rId1" cstate="print">
          <a:duotone>
            <a:prstClr val="black"/>
            <a:schemeClr val="bg1">
              <a:tint val="45000"/>
              <a:satMod val="400000"/>
            </a:schemeClr>
          </a:duotone>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val="0"/>
            </a:ext>
          </a:extLst>
        </a:blip>
        <a:srcRect t="11181"/>
        <a:stretch/>
      </xdr:blipFill>
      <xdr:spPr bwMode="auto">
        <a:xfrm rot="16200000">
          <a:off x="-287285" y="5138681"/>
          <a:ext cx="1256800" cy="6060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38102</xdr:colOff>
      <xdr:row>24</xdr:row>
      <xdr:rowOff>58731</xdr:rowOff>
    </xdr:from>
    <xdr:to>
      <xdr:col>1</xdr:col>
      <xdr:colOff>25003</xdr:colOff>
      <xdr:row>31</xdr:row>
      <xdr:rowOff>29656</xdr:rowOff>
    </xdr:to>
    <xdr:pic>
      <xdr:nvPicPr>
        <xdr:cNvPr id="2" name="Picture 1" descr="Home | City of Vancouver"/>
        <xdr:cNvPicPr>
          <a:picLocks noChangeAspect="1" noChangeArrowheads="1"/>
        </xdr:cNvPicPr>
      </xdr:nvPicPr>
      <xdr:blipFill rotWithShape="1">
        <a:blip xmlns:r="http://schemas.openxmlformats.org/officeDocument/2006/relationships" r:embed="rId1" cstate="print">
          <a:duotone>
            <a:prstClr val="black"/>
            <a:schemeClr val="bg1">
              <a:tint val="45000"/>
              <a:satMod val="400000"/>
            </a:schemeClr>
          </a:duotone>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val="0"/>
            </a:ext>
          </a:extLst>
        </a:blip>
        <a:srcRect t="11181"/>
        <a:stretch/>
      </xdr:blipFill>
      <xdr:spPr bwMode="auto">
        <a:xfrm rot="16200000">
          <a:off x="-290460" y="5168843"/>
          <a:ext cx="1266325" cy="6092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63500</xdr:colOff>
      <xdr:row>0</xdr:row>
      <xdr:rowOff>0</xdr:rowOff>
    </xdr:from>
    <xdr:to>
      <xdr:col>6</xdr:col>
      <xdr:colOff>405331</xdr:colOff>
      <xdr:row>3</xdr:row>
      <xdr:rowOff>33538</xdr:rowOff>
    </xdr:to>
    <xdr:pic>
      <xdr:nvPicPr>
        <xdr:cNvPr id="3" name="Picture 2" descr="Home | City of Vancouver"/>
        <xdr:cNvPicPr>
          <a:picLocks noChangeAspect="1" noChangeArrowheads="1"/>
        </xdr:cNvPicPr>
      </xdr:nvPicPr>
      <xdr:blipFill rotWithShape="1">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t="11231"/>
        <a:stretch/>
      </xdr:blipFill>
      <xdr:spPr bwMode="auto">
        <a:xfrm>
          <a:off x="2552700" y="0"/>
          <a:ext cx="1586431" cy="7193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545488</xdr:colOff>
      <xdr:row>1</xdr:row>
      <xdr:rowOff>1</xdr:rowOff>
    </xdr:from>
    <xdr:to>
      <xdr:col>6</xdr:col>
      <xdr:colOff>552365</xdr:colOff>
      <xdr:row>2</xdr:row>
      <xdr:rowOff>107553</xdr:rowOff>
    </xdr:to>
    <xdr:cxnSp macro="">
      <xdr:nvCxnSpPr>
        <xdr:cNvPr id="6" name="Straight Connector 5"/>
        <xdr:cNvCxnSpPr/>
      </xdr:nvCxnSpPr>
      <xdr:spPr>
        <a:xfrm flipV="1">
          <a:off x="4263681" y="298374"/>
          <a:ext cx="6877" cy="29116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58615</xdr:colOff>
      <xdr:row>0</xdr:row>
      <xdr:rowOff>0</xdr:rowOff>
    </xdr:from>
    <xdr:to>
      <xdr:col>6</xdr:col>
      <xdr:colOff>406796</xdr:colOff>
      <xdr:row>2</xdr:row>
      <xdr:rowOff>20838</xdr:rowOff>
    </xdr:to>
    <xdr:pic>
      <xdr:nvPicPr>
        <xdr:cNvPr id="2" name="Picture 1" descr="Home | City of Vancouver"/>
        <xdr:cNvPicPr>
          <a:picLocks noChangeAspect="1" noChangeArrowheads="1"/>
        </xdr:cNvPicPr>
      </xdr:nvPicPr>
      <xdr:blipFill rotWithShape="1">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t="11231"/>
        <a:stretch/>
      </xdr:blipFill>
      <xdr:spPr bwMode="auto">
        <a:xfrm>
          <a:off x="2539084" y="0"/>
          <a:ext cx="1588415" cy="7203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555002</xdr:colOff>
      <xdr:row>0</xdr:row>
      <xdr:rowOff>319424</xdr:rowOff>
    </xdr:from>
    <xdr:to>
      <xdr:col>6</xdr:col>
      <xdr:colOff>561879</xdr:colOff>
      <xdr:row>1</xdr:row>
      <xdr:rowOff>213716</xdr:rowOff>
    </xdr:to>
    <xdr:cxnSp macro="">
      <xdr:nvCxnSpPr>
        <xdr:cNvPr id="10" name="Straight Connector 9"/>
        <xdr:cNvCxnSpPr/>
      </xdr:nvCxnSpPr>
      <xdr:spPr>
        <a:xfrm flipV="1">
          <a:off x="4295729" y="319424"/>
          <a:ext cx="6877" cy="294534"/>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58615</xdr:colOff>
      <xdr:row>0</xdr:row>
      <xdr:rowOff>0</xdr:rowOff>
    </xdr:from>
    <xdr:to>
      <xdr:col>6</xdr:col>
      <xdr:colOff>406796</xdr:colOff>
      <xdr:row>2</xdr:row>
      <xdr:rowOff>20838</xdr:rowOff>
    </xdr:to>
    <xdr:pic>
      <xdr:nvPicPr>
        <xdr:cNvPr id="2" name="Picture 1" descr="Home | City of Vancouver"/>
        <xdr:cNvPicPr>
          <a:picLocks noChangeAspect="1" noChangeArrowheads="1"/>
        </xdr:cNvPicPr>
      </xdr:nvPicPr>
      <xdr:blipFill rotWithShape="1">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t="11231"/>
        <a:stretch/>
      </xdr:blipFill>
      <xdr:spPr bwMode="auto">
        <a:xfrm>
          <a:off x="2547815" y="0"/>
          <a:ext cx="1592781" cy="7193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555002</xdr:colOff>
      <xdr:row>0</xdr:row>
      <xdr:rowOff>319424</xdr:rowOff>
    </xdr:from>
    <xdr:to>
      <xdr:col>6</xdr:col>
      <xdr:colOff>561879</xdr:colOff>
      <xdr:row>1</xdr:row>
      <xdr:rowOff>213716</xdr:rowOff>
    </xdr:to>
    <xdr:cxnSp macro="">
      <xdr:nvCxnSpPr>
        <xdr:cNvPr id="3" name="Straight Connector 2"/>
        <xdr:cNvCxnSpPr/>
      </xdr:nvCxnSpPr>
      <xdr:spPr>
        <a:xfrm flipV="1">
          <a:off x="4288802" y="319424"/>
          <a:ext cx="6877" cy="294342"/>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9"/>
  <sheetViews>
    <sheetView tabSelected="1" showRuler="0" showWhiteSpace="0" zoomScaleNormal="100" zoomScalePageLayoutView="90" workbookViewId="0">
      <selection activeCell="X20" sqref="X20"/>
    </sheetView>
  </sheetViews>
  <sheetFormatPr defaultColWidth="8.5546875" defaultRowHeight="14.4" x14ac:dyDescent="0.3"/>
  <cols>
    <col min="1" max="1" width="5.5546875" customWidth="1"/>
    <col min="2" max="2" width="4.5546875" customWidth="1"/>
    <col min="4" max="4" width="4.5546875" customWidth="1"/>
    <col min="5" max="5" width="4.21875" style="4" customWidth="1"/>
    <col min="6" max="7" width="4.21875" style="7" customWidth="1"/>
    <col min="8" max="8" width="4.21875" customWidth="1"/>
    <col min="9" max="9" width="4.5546875" customWidth="1"/>
    <col min="10" max="12" width="4.21875" style="4" customWidth="1"/>
    <col min="13" max="13" width="4.21875" customWidth="1"/>
    <col min="14" max="14" width="4.5546875" customWidth="1"/>
    <col min="15" max="19" width="4.21875" style="4" customWidth="1"/>
    <col min="20" max="20" width="4.5546875" customWidth="1"/>
    <col min="22" max="22" width="4.5546875" customWidth="1"/>
  </cols>
  <sheetData>
    <row r="1" spans="2:24" ht="14.55" customHeight="1" x14ac:dyDescent="0.3">
      <c r="D1" s="2"/>
      <c r="E1" s="2"/>
      <c r="F1" s="2"/>
      <c r="G1" s="2"/>
      <c r="H1" s="2"/>
      <c r="I1" s="2"/>
      <c r="J1" s="2"/>
      <c r="K1" s="2"/>
      <c r="L1" s="2"/>
      <c r="M1" s="141"/>
      <c r="N1" s="142"/>
      <c r="O1" s="142"/>
      <c r="P1" s="142"/>
      <c r="Q1" s="142"/>
      <c r="R1" s="142"/>
      <c r="S1" s="142"/>
      <c r="T1" s="142"/>
      <c r="U1" s="142"/>
      <c r="V1" s="142"/>
      <c r="W1" s="2"/>
    </row>
    <row r="2" spans="2:24" ht="14.55" customHeight="1" x14ac:dyDescent="0.3">
      <c r="D2" s="2"/>
      <c r="E2" s="2"/>
      <c r="F2" s="2"/>
      <c r="G2" s="2"/>
      <c r="H2" s="2" t="s">
        <v>524</v>
      </c>
      <c r="I2" s="2"/>
      <c r="J2" s="2"/>
      <c r="K2" s="258" t="s">
        <v>525</v>
      </c>
      <c r="L2" s="2"/>
      <c r="M2" s="142"/>
      <c r="N2" s="142"/>
      <c r="O2" s="142"/>
      <c r="P2" s="142"/>
      <c r="Q2" s="142"/>
      <c r="R2" s="142"/>
      <c r="S2" s="142"/>
      <c r="T2" s="142"/>
      <c r="U2" s="142"/>
      <c r="V2" s="142"/>
      <c r="W2" s="2"/>
      <c r="X2" s="3"/>
    </row>
    <row r="3" spans="2:24" ht="22.5" customHeight="1" x14ac:dyDescent="0.3">
      <c r="D3" s="2"/>
      <c r="E3" s="2"/>
      <c r="F3" s="2"/>
      <c r="G3" s="2"/>
      <c r="H3" s="2" t="s">
        <v>526</v>
      </c>
      <c r="I3" s="2"/>
      <c r="J3" s="2"/>
      <c r="K3" s="2"/>
      <c r="L3" s="2"/>
      <c r="M3" s="142"/>
      <c r="N3" s="142"/>
      <c r="O3" s="142"/>
      <c r="P3" s="142"/>
      <c r="Q3" s="142"/>
      <c r="R3" s="142"/>
      <c r="S3" s="142"/>
      <c r="T3" s="142"/>
      <c r="U3" s="142"/>
      <c r="V3" s="142"/>
      <c r="W3" s="2"/>
      <c r="X3" s="3"/>
    </row>
    <row r="4" spans="2:24" ht="14.55" customHeight="1" x14ac:dyDescent="0.3">
      <c r="D4" s="2"/>
      <c r="E4" s="2"/>
      <c r="F4" s="2"/>
      <c r="G4" s="2"/>
      <c r="H4" s="240" t="s">
        <v>528</v>
      </c>
      <c r="I4" s="259"/>
      <c r="J4" s="259"/>
      <c r="K4" s="259"/>
      <c r="L4" s="259"/>
      <c r="M4" s="259"/>
      <c r="N4" s="259"/>
      <c r="O4" s="259"/>
      <c r="P4" s="259"/>
      <c r="Q4" s="2"/>
      <c r="R4" s="2"/>
      <c r="S4" s="2"/>
      <c r="T4" s="2"/>
      <c r="U4" s="2"/>
      <c r="V4" s="2"/>
      <c r="X4" s="3"/>
    </row>
    <row r="5" spans="2:24" x14ac:dyDescent="0.3">
      <c r="B5" s="159" t="s">
        <v>175</v>
      </c>
      <c r="C5" s="159"/>
      <c r="D5" s="159"/>
      <c r="E5" s="159"/>
      <c r="F5" s="159"/>
      <c r="G5" s="159"/>
      <c r="H5" s="159"/>
      <c r="I5" s="159"/>
      <c r="J5" s="159"/>
      <c r="K5" s="159"/>
      <c r="L5" s="159"/>
      <c r="M5" s="159"/>
      <c r="N5" s="159"/>
      <c r="O5" s="159"/>
      <c r="P5" s="159"/>
      <c r="Q5" s="159"/>
      <c r="R5" s="159"/>
      <c r="S5" s="159"/>
      <c r="T5" s="159"/>
      <c r="U5" s="159"/>
      <c r="V5" s="159"/>
      <c r="W5" s="159"/>
    </row>
    <row r="6" spans="2:24" s="7" customFormat="1" x14ac:dyDescent="0.3">
      <c r="B6" s="159"/>
      <c r="C6" s="159"/>
      <c r="D6" s="159"/>
      <c r="E6" s="159"/>
      <c r="F6" s="159"/>
      <c r="G6" s="159"/>
      <c r="H6" s="159"/>
      <c r="I6" s="159"/>
      <c r="J6" s="159"/>
      <c r="K6" s="159"/>
      <c r="L6" s="159"/>
      <c r="M6" s="159"/>
      <c r="N6" s="159"/>
      <c r="O6" s="159"/>
      <c r="P6" s="159"/>
      <c r="Q6" s="159"/>
      <c r="R6" s="159"/>
      <c r="S6" s="159"/>
      <c r="T6" s="159"/>
      <c r="U6" s="159"/>
      <c r="V6" s="159"/>
      <c r="W6" s="159"/>
    </row>
    <row r="7" spans="2:24" x14ac:dyDescent="0.3">
      <c r="B7" s="159"/>
      <c r="C7" s="159"/>
      <c r="D7" s="159"/>
      <c r="E7" s="159"/>
      <c r="F7" s="159"/>
      <c r="G7" s="159"/>
      <c r="H7" s="159"/>
      <c r="I7" s="159"/>
      <c r="J7" s="159"/>
      <c r="K7" s="159"/>
      <c r="L7" s="159"/>
      <c r="M7" s="159"/>
      <c r="N7" s="159"/>
      <c r="O7" s="159"/>
      <c r="P7" s="159"/>
      <c r="Q7" s="159"/>
      <c r="R7" s="159"/>
      <c r="S7" s="159"/>
      <c r="T7" s="159"/>
      <c r="U7" s="159"/>
      <c r="V7" s="159"/>
      <c r="W7" s="159"/>
    </row>
    <row r="8" spans="2:24" s="7" customFormat="1" x14ac:dyDescent="0.3">
      <c r="B8" s="64"/>
      <c r="C8" s="64"/>
      <c r="D8" s="64"/>
      <c r="E8" s="64"/>
      <c r="F8" s="106"/>
      <c r="G8" s="106"/>
      <c r="H8" s="64"/>
      <c r="I8" s="64"/>
      <c r="J8" s="64"/>
      <c r="K8" s="64"/>
      <c r="L8" s="64"/>
      <c r="M8" s="64"/>
      <c r="N8" s="64"/>
      <c r="O8" s="64"/>
      <c r="P8" s="64"/>
      <c r="Q8" s="64"/>
      <c r="R8" s="64"/>
      <c r="S8" s="64"/>
      <c r="T8" s="64"/>
      <c r="U8" s="64"/>
      <c r="V8" s="64"/>
      <c r="W8" s="64"/>
    </row>
    <row r="9" spans="2:24" s="7" customFormat="1" x14ac:dyDescent="0.3">
      <c r="B9" s="160" t="s">
        <v>344</v>
      </c>
      <c r="C9" s="160"/>
      <c r="D9" s="161"/>
      <c r="E9" s="161"/>
      <c r="F9" s="161"/>
      <c r="G9" s="161"/>
      <c r="H9" s="161"/>
      <c r="I9" s="161"/>
      <c r="J9" s="161"/>
      <c r="K9" s="162" t="s">
        <v>345</v>
      </c>
      <c r="L9" s="162"/>
      <c r="M9" s="162"/>
      <c r="N9" s="163"/>
      <c r="O9" s="163"/>
      <c r="P9" s="163"/>
      <c r="Q9" s="163"/>
      <c r="R9" s="163"/>
      <c r="S9" s="163"/>
      <c r="T9" s="163"/>
      <c r="U9" s="109" t="s">
        <v>346</v>
      </c>
      <c r="V9" s="164"/>
      <c r="W9" s="161"/>
    </row>
    <row r="10" spans="2:24" s="7" customFormat="1" x14ac:dyDescent="0.3">
      <c r="B10" s="64"/>
      <c r="C10" s="110" t="s">
        <v>462</v>
      </c>
      <c r="D10" s="108"/>
      <c r="E10" s="108"/>
      <c r="F10" s="107"/>
      <c r="G10" s="163"/>
      <c r="H10" s="163"/>
      <c r="I10" s="163"/>
      <c r="J10" s="163"/>
      <c r="K10" s="163"/>
      <c r="L10" s="163"/>
      <c r="M10" s="165" t="s">
        <v>463</v>
      </c>
      <c r="N10" s="165"/>
      <c r="O10" s="165"/>
      <c r="P10" s="165"/>
      <c r="Q10" s="165"/>
      <c r="R10" s="165"/>
      <c r="S10" s="165"/>
      <c r="T10" s="165"/>
      <c r="U10" s="163"/>
      <c r="V10" s="163"/>
      <c r="W10" s="163"/>
    </row>
    <row r="11" spans="2:24" x14ac:dyDescent="0.3">
      <c r="B11" s="47"/>
      <c r="C11" s="47"/>
      <c r="D11" s="47"/>
      <c r="E11" s="47"/>
      <c r="F11" s="47"/>
      <c r="G11" s="47"/>
      <c r="H11" s="47"/>
      <c r="I11" s="47"/>
      <c r="J11" s="47"/>
      <c r="K11" s="47"/>
      <c r="L11" s="47"/>
      <c r="M11" s="47"/>
      <c r="N11" s="47"/>
      <c r="O11" s="47"/>
      <c r="P11" s="47"/>
      <c r="Q11" s="47"/>
      <c r="R11" s="47"/>
      <c r="S11" s="47"/>
      <c r="T11" s="47"/>
      <c r="U11" s="47"/>
      <c r="V11" s="47"/>
      <c r="W11" s="47"/>
    </row>
    <row r="12" spans="2:24" ht="15" customHeight="1" x14ac:dyDescent="0.3">
      <c r="B12" s="149" t="s">
        <v>2</v>
      </c>
      <c r="C12" s="150"/>
      <c r="D12" s="148" t="s">
        <v>8</v>
      </c>
      <c r="E12" s="149"/>
      <c r="F12" s="149"/>
      <c r="G12" s="149"/>
      <c r="H12" s="150"/>
      <c r="I12" s="148" t="s">
        <v>9</v>
      </c>
      <c r="J12" s="149"/>
      <c r="K12" s="149"/>
      <c r="L12" s="149"/>
      <c r="M12" s="150"/>
      <c r="N12" s="148" t="s">
        <v>10</v>
      </c>
      <c r="O12" s="149"/>
      <c r="P12" s="149"/>
      <c r="Q12" s="149"/>
      <c r="R12" s="149"/>
      <c r="S12" s="150"/>
      <c r="T12" s="148" t="s">
        <v>11</v>
      </c>
      <c r="U12" s="150"/>
      <c r="V12" s="148" t="s">
        <v>12</v>
      </c>
      <c r="W12" s="149"/>
      <c r="X12" s="4"/>
    </row>
    <row r="13" spans="2:24" ht="15" customHeight="1" thickBot="1" x14ac:dyDescent="0.35">
      <c r="B13" s="152" t="s">
        <v>39</v>
      </c>
      <c r="C13" s="153"/>
      <c r="D13" s="151" t="s">
        <v>42</v>
      </c>
      <c r="E13" s="152"/>
      <c r="F13" s="152"/>
      <c r="G13" s="152"/>
      <c r="H13" s="153"/>
      <c r="I13" s="154" t="s">
        <v>40</v>
      </c>
      <c r="J13" s="155"/>
      <c r="K13" s="155"/>
      <c r="L13" s="155"/>
      <c r="M13" s="156"/>
      <c r="N13" s="154" t="s">
        <v>44</v>
      </c>
      <c r="O13" s="155"/>
      <c r="P13" s="155"/>
      <c r="Q13" s="155"/>
      <c r="R13" s="155"/>
      <c r="S13" s="156"/>
      <c r="T13" s="154" t="s">
        <v>41</v>
      </c>
      <c r="U13" s="156"/>
      <c r="V13" s="154" t="s">
        <v>45</v>
      </c>
      <c r="W13" s="155"/>
      <c r="X13" s="4"/>
    </row>
    <row r="14" spans="2:24" ht="15" thickBot="1" x14ac:dyDescent="0.35">
      <c r="B14" s="48" t="s">
        <v>0</v>
      </c>
      <c r="C14" s="100"/>
      <c r="D14" s="49" t="s">
        <v>5</v>
      </c>
      <c r="E14" s="143"/>
      <c r="F14" s="143"/>
      <c r="G14" s="143"/>
      <c r="H14" s="143"/>
      <c r="I14" s="49" t="s">
        <v>13</v>
      </c>
      <c r="J14" s="157"/>
      <c r="K14" s="158"/>
      <c r="L14" s="145"/>
      <c r="M14" s="145"/>
      <c r="N14" s="49" t="s">
        <v>18</v>
      </c>
      <c r="O14" s="57"/>
      <c r="P14" s="57"/>
      <c r="Q14" s="57"/>
      <c r="R14" s="146"/>
      <c r="S14" s="147"/>
      <c r="T14" s="49" t="s">
        <v>29</v>
      </c>
      <c r="U14" s="99"/>
      <c r="V14" s="49" t="s">
        <v>36</v>
      </c>
      <c r="W14" s="99"/>
      <c r="X14" s="4"/>
    </row>
    <row r="15" spans="2:24" ht="15" thickBot="1" x14ac:dyDescent="0.35">
      <c r="B15" s="50" t="s">
        <v>3</v>
      </c>
      <c r="C15" s="105"/>
      <c r="D15" s="51" t="s">
        <v>6</v>
      </c>
      <c r="E15" s="143"/>
      <c r="F15" s="143"/>
      <c r="G15" s="143"/>
      <c r="H15" s="143"/>
      <c r="I15" s="51" t="s">
        <v>14</v>
      </c>
      <c r="J15" s="145"/>
      <c r="K15" s="145"/>
      <c r="L15" s="145"/>
      <c r="M15" s="145"/>
      <c r="N15" s="51" t="s">
        <v>21</v>
      </c>
      <c r="O15" s="143"/>
      <c r="P15" s="143"/>
      <c r="Q15" s="143"/>
      <c r="R15" s="143"/>
      <c r="S15" s="143"/>
      <c r="T15" s="51" t="s">
        <v>19</v>
      </c>
      <c r="U15" s="105"/>
      <c r="V15" s="51" t="s">
        <v>37</v>
      </c>
      <c r="W15" s="105"/>
      <c r="X15" s="4"/>
    </row>
    <row r="16" spans="2:24" ht="15" thickBot="1" x14ac:dyDescent="0.35">
      <c r="B16" s="48" t="s">
        <v>4</v>
      </c>
      <c r="C16" s="99"/>
      <c r="D16" s="49" t="s">
        <v>7</v>
      </c>
      <c r="E16" s="57"/>
      <c r="F16" s="57"/>
      <c r="G16" s="57"/>
      <c r="H16" s="57"/>
      <c r="I16" s="49" t="s">
        <v>15</v>
      </c>
      <c r="J16" s="145"/>
      <c r="K16" s="145"/>
      <c r="L16" s="145"/>
      <c r="M16" s="145"/>
      <c r="N16" s="49" t="s">
        <v>22</v>
      </c>
      <c r="O16" s="57"/>
      <c r="P16" s="57"/>
      <c r="Q16" s="57"/>
      <c r="R16" s="146"/>
      <c r="S16" s="147"/>
      <c r="T16" s="49" t="s">
        <v>30</v>
      </c>
      <c r="U16" s="99"/>
      <c r="V16" s="49" t="s">
        <v>38</v>
      </c>
      <c r="W16" s="101"/>
      <c r="X16" s="4"/>
    </row>
    <row r="17" spans="1:24" ht="15" thickBot="1" x14ac:dyDescent="0.35">
      <c r="B17" s="47"/>
      <c r="C17" s="47"/>
      <c r="D17" s="51" t="s">
        <v>1</v>
      </c>
      <c r="E17" s="144"/>
      <c r="F17" s="144"/>
      <c r="G17" s="144"/>
      <c r="H17" s="144"/>
      <c r="I17" s="49" t="s">
        <v>16</v>
      </c>
      <c r="J17" s="145"/>
      <c r="K17" s="145"/>
      <c r="L17" s="145"/>
      <c r="M17" s="145"/>
      <c r="N17" s="49" t="s">
        <v>23</v>
      </c>
      <c r="O17" s="146"/>
      <c r="P17" s="143"/>
      <c r="Q17" s="143"/>
      <c r="R17" s="143"/>
      <c r="S17" s="147"/>
      <c r="T17" s="49" t="s">
        <v>31</v>
      </c>
      <c r="U17" s="99"/>
      <c r="V17" s="49" t="s">
        <v>20</v>
      </c>
      <c r="W17" s="101"/>
      <c r="X17" s="4"/>
    </row>
    <row r="18" spans="1:24" ht="15" thickBot="1" x14ac:dyDescent="0.35">
      <c r="B18" s="47"/>
      <c r="C18" s="47"/>
      <c r="D18" s="47"/>
      <c r="E18" s="47"/>
      <c r="F18" s="47"/>
      <c r="G18" s="47"/>
      <c r="H18" s="47"/>
      <c r="I18" s="49" t="s">
        <v>17</v>
      </c>
      <c r="J18" s="145"/>
      <c r="K18" s="145"/>
      <c r="L18" s="145"/>
      <c r="M18" s="145"/>
      <c r="N18" s="49" t="s">
        <v>24</v>
      </c>
      <c r="O18" s="146"/>
      <c r="P18" s="143"/>
      <c r="Q18" s="143"/>
      <c r="R18" s="143"/>
      <c r="S18" s="147"/>
      <c r="T18" s="49" t="s">
        <v>32</v>
      </c>
      <c r="U18" s="99"/>
      <c r="V18" s="52"/>
      <c r="W18" s="52"/>
      <c r="X18" s="5"/>
    </row>
    <row r="19" spans="1:24" ht="15" thickBot="1" x14ac:dyDescent="0.35">
      <c r="B19" s="47"/>
      <c r="C19" s="47"/>
      <c r="D19" s="47"/>
      <c r="E19" s="47"/>
      <c r="F19" s="47"/>
      <c r="G19" s="47"/>
      <c r="H19" s="47"/>
      <c r="I19" s="47"/>
      <c r="J19" s="102"/>
      <c r="K19" s="102"/>
      <c r="L19" s="102"/>
      <c r="M19" s="102"/>
      <c r="N19" s="51" t="s">
        <v>25</v>
      </c>
      <c r="O19" s="143"/>
      <c r="P19" s="143"/>
      <c r="Q19" s="143"/>
      <c r="R19" s="143"/>
      <c r="S19" s="98"/>
      <c r="T19" s="51" t="s">
        <v>33</v>
      </c>
      <c r="U19" s="105"/>
      <c r="V19" s="53"/>
      <c r="W19" s="53"/>
      <c r="X19" s="5"/>
    </row>
    <row r="20" spans="1:24" ht="15" thickBot="1" x14ac:dyDescent="0.35">
      <c r="B20" s="47"/>
      <c r="C20" s="47"/>
      <c r="D20" s="47"/>
      <c r="E20" s="47"/>
      <c r="F20" s="47"/>
      <c r="G20" s="47"/>
      <c r="H20" s="47"/>
      <c r="I20" s="47"/>
      <c r="J20" s="47"/>
      <c r="K20" s="47"/>
      <c r="L20" s="47"/>
      <c r="M20" s="47"/>
      <c r="N20" s="54" t="s">
        <v>26</v>
      </c>
      <c r="O20" s="143"/>
      <c r="P20" s="143"/>
      <c r="Q20" s="143"/>
      <c r="R20" s="143"/>
      <c r="S20" s="143"/>
      <c r="T20" s="49" t="s">
        <v>34</v>
      </c>
      <c r="U20" s="99"/>
      <c r="V20" s="52"/>
      <c r="W20" s="55"/>
      <c r="X20" s="5"/>
    </row>
    <row r="21" spans="1:24" ht="15" thickBot="1" x14ac:dyDescent="0.35">
      <c r="B21" s="47"/>
      <c r="C21" s="47"/>
      <c r="D21" s="47"/>
      <c r="E21" s="47"/>
      <c r="F21" s="47"/>
      <c r="G21" s="47"/>
      <c r="H21" s="47"/>
      <c r="I21" s="47"/>
      <c r="J21" s="47"/>
      <c r="K21" s="47"/>
      <c r="L21" s="47"/>
      <c r="M21" s="47"/>
      <c r="N21" s="54" t="s">
        <v>27</v>
      </c>
      <c r="O21" s="143"/>
      <c r="P21" s="143"/>
      <c r="Q21" s="143"/>
      <c r="R21" s="143"/>
      <c r="S21" s="143"/>
      <c r="T21" s="56" t="s">
        <v>35</v>
      </c>
      <c r="U21" s="99"/>
      <c r="V21" s="52"/>
      <c r="W21" s="55"/>
      <c r="X21" s="5"/>
    </row>
    <row r="22" spans="1:24" ht="15" thickBot="1" x14ac:dyDescent="0.35">
      <c r="B22" s="47"/>
      <c r="C22" s="47"/>
      <c r="D22" s="47"/>
      <c r="E22" s="47"/>
      <c r="F22" s="47"/>
      <c r="G22" s="47"/>
      <c r="H22" s="47"/>
      <c r="I22" s="47"/>
      <c r="J22" s="47"/>
      <c r="K22" s="47"/>
      <c r="L22" s="47"/>
      <c r="M22" s="47"/>
      <c r="N22" s="49" t="s">
        <v>28</v>
      </c>
      <c r="O22" s="143"/>
      <c r="P22" s="143"/>
      <c r="Q22" s="143"/>
      <c r="R22" s="143"/>
      <c r="S22" s="143"/>
      <c r="T22" s="47"/>
      <c r="U22" s="102"/>
      <c r="V22" s="53"/>
      <c r="W22" s="53"/>
      <c r="X22" s="5"/>
    </row>
    <row r="25" spans="1:24" x14ac:dyDescent="0.3">
      <c r="A25" s="167" t="s">
        <v>461</v>
      </c>
      <c r="B25" s="167"/>
      <c r="C25" s="167"/>
      <c r="D25" s="167"/>
      <c r="E25" s="167"/>
      <c r="F25" s="167"/>
      <c r="G25" s="167"/>
      <c r="H25" s="167"/>
      <c r="I25" s="167"/>
      <c r="J25" s="167"/>
      <c r="K25" s="167"/>
      <c r="L25" s="167"/>
      <c r="M25" s="167"/>
      <c r="N25" s="167"/>
      <c r="O25" s="167"/>
      <c r="P25" s="167"/>
      <c r="Q25" s="167"/>
      <c r="R25" s="167"/>
      <c r="S25" s="167"/>
      <c r="T25" s="167"/>
      <c r="U25" s="167"/>
      <c r="V25" s="167"/>
      <c r="W25" s="167"/>
      <c r="X25" s="167"/>
    </row>
    <row r="26" spans="1:24" x14ac:dyDescent="0.3">
      <c r="A26" s="166" t="s">
        <v>527</v>
      </c>
      <c r="B26" s="167"/>
      <c r="C26" s="167"/>
      <c r="D26" s="167"/>
      <c r="E26" s="167"/>
      <c r="F26" s="167"/>
      <c r="G26" s="167"/>
      <c r="H26" s="167"/>
      <c r="I26" s="167"/>
      <c r="J26" s="167"/>
      <c r="K26" s="167"/>
      <c r="L26" s="167"/>
      <c r="M26" s="167"/>
      <c r="N26" s="167"/>
      <c r="O26" s="167"/>
      <c r="P26" s="167"/>
      <c r="Q26" s="167"/>
      <c r="R26" s="167"/>
      <c r="S26" s="167"/>
      <c r="T26" s="167"/>
      <c r="U26" s="167"/>
      <c r="V26" s="167"/>
      <c r="W26" s="167"/>
      <c r="X26" s="167"/>
    </row>
    <row r="27" spans="1:24" x14ac:dyDescent="0.3">
      <c r="A27" s="167"/>
      <c r="B27" s="167"/>
      <c r="C27" s="167"/>
      <c r="D27" s="167"/>
      <c r="E27" s="167"/>
      <c r="F27" s="167"/>
      <c r="G27" s="167"/>
      <c r="H27" s="167"/>
      <c r="I27" s="167"/>
      <c r="J27" s="167"/>
      <c r="K27" s="167"/>
      <c r="L27" s="167"/>
      <c r="M27" s="167"/>
      <c r="N27" s="167"/>
      <c r="O27" s="167"/>
      <c r="P27" s="167"/>
      <c r="Q27" s="167"/>
      <c r="R27" s="167"/>
      <c r="S27" s="167"/>
      <c r="T27" s="167"/>
      <c r="U27" s="167"/>
      <c r="V27" s="167"/>
      <c r="W27" s="167"/>
      <c r="X27" s="167"/>
    </row>
    <row r="28" spans="1:24" x14ac:dyDescent="0.3">
      <c r="A28" s="167"/>
      <c r="B28" s="167"/>
      <c r="C28" s="167"/>
      <c r="D28" s="167"/>
      <c r="E28" s="167"/>
      <c r="F28" s="167"/>
      <c r="G28" s="167"/>
      <c r="H28" s="167"/>
      <c r="I28" s="167"/>
      <c r="J28" s="167"/>
      <c r="K28" s="167"/>
      <c r="L28" s="167"/>
      <c r="M28" s="167"/>
      <c r="N28" s="167"/>
      <c r="O28" s="167"/>
      <c r="P28" s="167"/>
      <c r="Q28" s="167"/>
      <c r="R28" s="167"/>
      <c r="S28" s="167"/>
      <c r="T28" s="167"/>
      <c r="U28" s="167"/>
      <c r="V28" s="167"/>
      <c r="W28" s="167"/>
      <c r="X28" s="167"/>
    </row>
    <row r="29" spans="1:24" x14ac:dyDescent="0.3">
      <c r="A29" s="167"/>
      <c r="B29" s="167"/>
      <c r="C29" s="167"/>
      <c r="D29" s="167"/>
      <c r="E29" s="167"/>
      <c r="F29" s="167"/>
      <c r="G29" s="167"/>
      <c r="H29" s="167"/>
      <c r="I29" s="167"/>
      <c r="J29" s="167"/>
      <c r="K29" s="167"/>
      <c r="L29" s="167"/>
      <c r="M29" s="167"/>
      <c r="N29" s="167"/>
      <c r="O29" s="167"/>
      <c r="P29" s="167"/>
      <c r="Q29" s="167"/>
      <c r="R29" s="167"/>
      <c r="S29" s="167"/>
      <c r="T29" s="167"/>
      <c r="U29" s="167"/>
      <c r="V29" s="167"/>
      <c r="W29" s="167"/>
      <c r="X29" s="167"/>
    </row>
  </sheetData>
  <mergeCells count="43">
    <mergeCell ref="H4:P4"/>
    <mergeCell ref="Q19:R19"/>
    <mergeCell ref="O20:S20"/>
    <mergeCell ref="O21:S21"/>
    <mergeCell ref="A26:X29"/>
    <mergeCell ref="T13:U13"/>
    <mergeCell ref="V13:W13"/>
    <mergeCell ref="J18:M18"/>
    <mergeCell ref="O15:S15"/>
    <mergeCell ref="O18:S18"/>
    <mergeCell ref="O22:S22"/>
    <mergeCell ref="O17:S17"/>
    <mergeCell ref="R16:S16"/>
    <mergeCell ref="O19:P19"/>
    <mergeCell ref="A25:X25"/>
    <mergeCell ref="B5:W7"/>
    <mergeCell ref="T12:U12"/>
    <mergeCell ref="V12:W12"/>
    <mergeCell ref="B12:C12"/>
    <mergeCell ref="B13:C13"/>
    <mergeCell ref="B9:C9"/>
    <mergeCell ref="D9:J9"/>
    <mergeCell ref="K9:M9"/>
    <mergeCell ref="N9:T9"/>
    <mergeCell ref="V9:W9"/>
    <mergeCell ref="G10:L10"/>
    <mergeCell ref="U10:W10"/>
    <mergeCell ref="M10:T10"/>
    <mergeCell ref="E15:H15"/>
    <mergeCell ref="E17:H17"/>
    <mergeCell ref="J15:M15"/>
    <mergeCell ref="J16:M16"/>
    <mergeCell ref="J17:M17"/>
    <mergeCell ref="R14:S14"/>
    <mergeCell ref="D12:H12"/>
    <mergeCell ref="I12:M12"/>
    <mergeCell ref="N12:S12"/>
    <mergeCell ref="E14:H14"/>
    <mergeCell ref="D13:H13"/>
    <mergeCell ref="I13:M13"/>
    <mergeCell ref="N13:S13"/>
    <mergeCell ref="J14:K14"/>
    <mergeCell ref="L14:M14"/>
  </mergeCells>
  <pageMargins left="0.7" right="0.7" top="0.75" bottom="0.75" header="0.3" footer="0.3"/>
  <pageSetup orientation="landscape" r:id="rId1"/>
  <headerFooter>
    <oddHeader xml:space="preserve">&amp;L&amp;K00-046
&amp;R&amp;9&amp;K00-042V1
</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72"/>
  <sheetViews>
    <sheetView topLeftCell="D1" zoomScale="144" zoomScaleNormal="62" zoomScalePageLayoutView="70" workbookViewId="0">
      <selection activeCell="E4" sqref="E4"/>
    </sheetView>
  </sheetViews>
  <sheetFormatPr defaultColWidth="8.77734375" defaultRowHeight="14.4" x14ac:dyDescent="0.3"/>
  <cols>
    <col min="1" max="1" width="17.21875" style="7" bestFit="1" customWidth="1"/>
    <col min="2" max="2" width="55.21875" style="7" customWidth="1"/>
    <col min="3" max="3" width="10.5546875" style="7" bestFit="1" customWidth="1"/>
    <col min="4" max="4" width="18.21875" style="7" bestFit="1" customWidth="1"/>
    <col min="5" max="5" width="25.21875" style="7" bestFit="1" customWidth="1"/>
    <col min="6" max="7" width="8.77734375" style="7"/>
    <col min="8" max="8" width="195.33203125" style="7" bestFit="1" customWidth="1"/>
    <col min="9" max="9" width="27.6640625" style="7" bestFit="1" customWidth="1"/>
    <col min="10" max="16384" width="8.77734375" style="7"/>
  </cols>
  <sheetData>
    <row r="1" spans="1:10" x14ac:dyDescent="0.3">
      <c r="A1" s="169" t="s">
        <v>315</v>
      </c>
      <c r="B1" s="169"/>
      <c r="C1" s="169"/>
      <c r="D1" s="169"/>
      <c r="E1" s="169"/>
      <c r="F1" s="169"/>
      <c r="G1" s="169"/>
      <c r="H1" s="169"/>
      <c r="I1" s="169"/>
      <c r="J1" s="169"/>
    </row>
    <row r="2" spans="1:10" x14ac:dyDescent="0.3">
      <c r="A2" s="60"/>
      <c r="B2" s="60"/>
      <c r="C2" s="60"/>
      <c r="D2" s="60"/>
      <c r="E2" s="173" t="str">
        <f>"This report has been generated to inform departmental leadership of the unique and personal challenges"&amp;" "&amp;IF('Answer Sheet'!D9&lt;&gt;"",'Answer Sheet'!D9,"a worker")&amp;" has reported when performing the job duty of"&amp;" "&amp;IF('Answer Sheet'!N9&lt;&gt;"",'Answer Sheet'!N9,"")&amp;"."&amp;" Ergonomic hazards associated with contact stress, force, awkward posture and repetition are prioritized based on the level of risk."&amp;" The worker has been in this occupation for "&amp;'Answer Sheet'!G10&amp;" of which "&amp;'Answer Sheet'!U10&amp;" has been with the City."</f>
        <v>This report has been generated to inform departmental leadership of the unique and personal challenges a worker has reported when performing the job duty of . Ergonomic hazards associated with contact stress, force, awkward posture and repetition are prioritized based on the level of risk. The worker has been in this occupation for  of which  has been with the City.</v>
      </c>
      <c r="F2" s="173"/>
      <c r="G2" s="173"/>
      <c r="H2" s="173"/>
      <c r="I2" s="60"/>
      <c r="J2" s="60"/>
    </row>
    <row r="3" spans="1:10" x14ac:dyDescent="0.3">
      <c r="A3" s="65"/>
      <c r="B3" s="65"/>
      <c r="C3" s="65"/>
      <c r="D3" s="65"/>
      <c r="E3" s="173"/>
      <c r="F3" s="173"/>
      <c r="G3" s="173"/>
      <c r="H3" s="173"/>
      <c r="I3" s="65"/>
      <c r="J3" s="65"/>
    </row>
    <row r="5" spans="1:10" x14ac:dyDescent="0.3">
      <c r="A5" s="168" t="s">
        <v>320</v>
      </c>
      <c r="B5" s="174" t="s">
        <v>316</v>
      </c>
      <c r="C5" s="5" t="s">
        <v>318</v>
      </c>
      <c r="D5" s="58" t="s">
        <v>448</v>
      </c>
      <c r="E5" s="170" t="s">
        <v>340</v>
      </c>
      <c r="F5" s="170"/>
      <c r="G5" s="170"/>
      <c r="H5" s="170"/>
    </row>
    <row r="6" spans="1:10" x14ac:dyDescent="0.3">
      <c r="A6" s="168"/>
      <c r="B6" s="174"/>
      <c r="C6" s="5" t="s">
        <v>319</v>
      </c>
      <c r="D6" s="5" t="s">
        <v>317</v>
      </c>
      <c r="E6" s="170" t="s">
        <v>341</v>
      </c>
      <c r="F6" s="170"/>
      <c r="G6" s="170"/>
      <c r="H6" s="170"/>
      <c r="I6" s="18"/>
    </row>
    <row r="7" spans="1:10" x14ac:dyDescent="0.3">
      <c r="A7" s="40"/>
      <c r="B7" s="68"/>
      <c r="C7" s="5"/>
      <c r="D7" s="5"/>
      <c r="E7" s="5"/>
      <c r="F7" s="5"/>
      <c r="G7" s="31"/>
      <c r="H7" s="5"/>
      <c r="I7" s="18"/>
    </row>
    <row r="8" spans="1:10" ht="14.55" customHeight="1" x14ac:dyDescent="0.3">
      <c r="A8" s="172" t="s">
        <v>322</v>
      </c>
      <c r="B8" s="171" t="s">
        <v>321</v>
      </c>
      <c r="C8" s="5" t="s">
        <v>327</v>
      </c>
      <c r="D8" s="5" t="s">
        <v>323</v>
      </c>
      <c r="E8" s="170" t="s">
        <v>331</v>
      </c>
      <c r="F8" s="170"/>
      <c r="G8" s="170"/>
      <c r="H8" s="170"/>
      <c r="I8" s="18"/>
    </row>
    <row r="9" spans="1:10" x14ac:dyDescent="0.3">
      <c r="A9" s="172"/>
      <c r="B9" s="171"/>
      <c r="C9" s="5" t="s">
        <v>328</v>
      </c>
      <c r="D9" s="5" t="s">
        <v>324</v>
      </c>
      <c r="E9" s="170" t="s">
        <v>332</v>
      </c>
      <c r="F9" s="170"/>
      <c r="G9" s="170"/>
      <c r="H9" s="170"/>
      <c r="I9" s="18"/>
    </row>
    <row r="10" spans="1:10" x14ac:dyDescent="0.3">
      <c r="A10" s="172"/>
      <c r="B10" s="171"/>
      <c r="C10" s="5" t="s">
        <v>329</v>
      </c>
      <c r="D10" s="5" t="s">
        <v>325</v>
      </c>
      <c r="E10" s="170" t="s">
        <v>333</v>
      </c>
      <c r="F10" s="170"/>
      <c r="G10" s="170"/>
      <c r="H10" s="170"/>
      <c r="I10" s="18"/>
    </row>
    <row r="11" spans="1:10" x14ac:dyDescent="0.3">
      <c r="A11" s="172"/>
      <c r="B11" s="171"/>
      <c r="C11" s="5" t="s">
        <v>330</v>
      </c>
      <c r="D11" s="5" t="s">
        <v>326</v>
      </c>
      <c r="E11" s="170" t="s">
        <v>334</v>
      </c>
      <c r="F11" s="170"/>
      <c r="G11" s="170"/>
      <c r="H11" s="170"/>
      <c r="I11" s="18"/>
    </row>
    <row r="12" spans="1:10" x14ac:dyDescent="0.3">
      <c r="A12" s="23"/>
      <c r="B12" s="75"/>
      <c r="C12" s="5"/>
      <c r="D12" s="5"/>
      <c r="E12" s="76"/>
      <c r="F12" s="76"/>
      <c r="G12" s="76"/>
      <c r="H12" s="76"/>
      <c r="I12" s="18"/>
    </row>
    <row r="13" spans="1:10" x14ac:dyDescent="0.3">
      <c r="A13" s="61" t="s">
        <v>335</v>
      </c>
      <c r="B13" s="70" t="s">
        <v>336</v>
      </c>
      <c r="C13" s="63" t="s">
        <v>337</v>
      </c>
      <c r="D13" s="5" t="s">
        <v>338</v>
      </c>
      <c r="E13" s="5"/>
      <c r="F13" s="5"/>
      <c r="G13" s="63"/>
      <c r="H13" s="5"/>
      <c r="I13" s="18"/>
    </row>
    <row r="14" spans="1:10" x14ac:dyDescent="0.3">
      <c r="A14" s="38">
        <f>COUNTIF('Matrix - Part 2'!I5:I23,"=4")</f>
        <v>0</v>
      </c>
      <c r="B14" s="68">
        <f>COUNTIF('Matrix - Part 2'!I5:I23,"=3")</f>
        <v>0</v>
      </c>
      <c r="C14" s="5">
        <f>COUNTIF('Matrix - Part 2'!I5:I23,"=2")</f>
        <v>0</v>
      </c>
      <c r="D14" s="5">
        <f>COUNTIF('Matrix - Part 2'!I5:I23,"=1")</f>
        <v>0</v>
      </c>
      <c r="E14" s="5"/>
      <c r="F14" s="5"/>
      <c r="G14" s="31"/>
      <c r="H14" s="5"/>
      <c r="I14" s="18"/>
    </row>
    <row r="15" spans="1:10" x14ac:dyDescent="0.3">
      <c r="A15" s="7">
        <f>COUNTIF('Matrix - Part 3'!I4:I20,"=4")</f>
        <v>0</v>
      </c>
      <c r="B15" s="7">
        <f>COUNTIF('Matrix - Part 3'!I4:I20,"=3")</f>
        <v>0</v>
      </c>
      <c r="C15" s="5">
        <f>COUNTIF('Matrix - Part 3'!I4:I20,"=2")</f>
        <v>0</v>
      </c>
      <c r="D15" s="5">
        <f>COUNTIF('Matrix - Part 3'!I4:I20,"=1")</f>
        <v>0</v>
      </c>
      <c r="E15" s="5"/>
      <c r="F15" s="5"/>
      <c r="G15" s="5"/>
      <c r="H15" s="5"/>
      <c r="I15" s="18"/>
    </row>
    <row r="16" spans="1:10" x14ac:dyDescent="0.3">
      <c r="A16" s="7">
        <f>COUNTIF('Matrix - Part 4'!I5:I44,"=4")</f>
        <v>0</v>
      </c>
      <c r="B16" s="7">
        <f>COUNTIF('Matrix - Part 4'!I5:I45,"=3")</f>
        <v>0</v>
      </c>
      <c r="C16" s="5">
        <f>COUNTIF('Matrix - Part 4'!I5:I45,"=2")</f>
        <v>0</v>
      </c>
      <c r="D16" s="5">
        <f>COUNTIF('Matrix - Part 4'!I5:I44,"=1")</f>
        <v>0</v>
      </c>
      <c r="E16" s="5"/>
      <c r="F16" s="5"/>
      <c r="G16" s="5"/>
      <c r="H16" s="5"/>
      <c r="I16" s="18"/>
    </row>
    <row r="17" spans="1:9" x14ac:dyDescent="0.3">
      <c r="A17" s="38">
        <f>COUNTIF('Matrix - Part 5'!I5:I38,"=4")</f>
        <v>0</v>
      </c>
      <c r="B17" s="38">
        <f>COUNTIF('Matrix - Part 5'!I5:I38,"=3")</f>
        <v>0</v>
      </c>
      <c r="C17" s="5">
        <f>COUNTIF('Matrix - Part 5'!I5:I38,"=2")</f>
        <v>0</v>
      </c>
      <c r="D17" s="5">
        <f>COUNTIF('Matrix - Part 5'!I5:I38,"=1")</f>
        <v>0</v>
      </c>
      <c r="E17" s="5"/>
      <c r="F17" s="5"/>
      <c r="G17" s="31"/>
      <c r="H17" s="5"/>
      <c r="I17" s="18"/>
    </row>
    <row r="18" spans="1:9" x14ac:dyDescent="0.3">
      <c r="A18" s="38">
        <f>COUNTIF('Matrix - Part 6'!I5:I15,"=4")</f>
        <v>0</v>
      </c>
      <c r="B18" s="38">
        <f>COUNTIF('Matrix - Part 6'!I5:I15,"=3")</f>
        <v>0</v>
      </c>
      <c r="C18" s="5">
        <f>COUNTIF('Matrix - Part 6'!I5:I16,"=2")</f>
        <v>0</v>
      </c>
      <c r="D18" s="5">
        <f>COUNTIF('Matrix - Part 6'!I5:I15,"=1")</f>
        <v>0</v>
      </c>
      <c r="E18" s="5"/>
      <c r="F18" s="5"/>
      <c r="G18" s="31"/>
      <c r="H18" s="5"/>
      <c r="I18" s="18"/>
    </row>
    <row r="19" spans="1:9" x14ac:dyDescent="0.3">
      <c r="A19" s="74">
        <f>SUM(A14,A15,A16,A17,A18)</f>
        <v>0</v>
      </c>
      <c r="B19" s="77">
        <f>SUM(B14,B15,B16,B17,B18)</f>
        <v>0</v>
      </c>
      <c r="C19" s="78">
        <f>SUM(C14,C15,C16,C17,C18)</f>
        <v>0</v>
      </c>
      <c r="D19" s="78">
        <f>SUM(D14,D16,D15,D17,D18)</f>
        <v>0</v>
      </c>
      <c r="E19" s="78">
        <f>SUM(A19,B19,C19)</f>
        <v>0</v>
      </c>
      <c r="F19" s="5"/>
      <c r="G19" s="63"/>
      <c r="H19" s="5"/>
      <c r="I19" s="18"/>
    </row>
    <row r="20" spans="1:9" x14ac:dyDescent="0.3">
      <c r="A20" s="38"/>
      <c r="B20" s="68"/>
      <c r="C20" s="5"/>
      <c r="D20" s="5"/>
      <c r="E20" s="5"/>
      <c r="F20" s="5"/>
      <c r="G20" s="31"/>
      <c r="H20" s="5"/>
      <c r="I20" s="18"/>
    </row>
    <row r="21" spans="1:9" x14ac:dyDescent="0.3">
      <c r="B21" s="5"/>
      <c r="C21" s="5"/>
      <c r="D21" s="5"/>
      <c r="E21" s="5"/>
      <c r="F21" s="5"/>
      <c r="G21" s="5"/>
      <c r="H21" s="5"/>
      <c r="I21" s="18"/>
    </row>
    <row r="22" spans="1:9" ht="14.55" customHeight="1" x14ac:dyDescent="0.3">
      <c r="A22" s="90">
        <f>SUM('Matrix - Part 2'!I28,'Matrix - Part 3'!I26,'Matrix - Part 4'!I57,'Matrix - Part 5'!I48)/4</f>
        <v>0</v>
      </c>
      <c r="B22" s="68"/>
      <c r="C22" s="5"/>
      <c r="D22" s="5"/>
      <c r="E22" s="5"/>
      <c r="F22" s="5"/>
      <c r="G22" s="31"/>
      <c r="H22" s="5" t="s">
        <v>464</v>
      </c>
      <c r="I22" s="18"/>
    </row>
    <row r="23" spans="1:9" x14ac:dyDescent="0.3">
      <c r="A23" s="38"/>
      <c r="B23" s="68"/>
      <c r="C23" s="5"/>
      <c r="D23" s="5"/>
      <c r="E23" s="5"/>
      <c r="F23" s="5"/>
      <c r="G23" s="63"/>
      <c r="H23" s="5"/>
      <c r="I23" s="18"/>
    </row>
    <row r="24" spans="1:9" x14ac:dyDescent="0.3">
      <c r="A24" s="38"/>
      <c r="B24" s="68"/>
      <c r="C24" s="5"/>
      <c r="D24" s="5"/>
      <c r="E24" s="5"/>
      <c r="F24" s="5"/>
      <c r="G24" s="31"/>
      <c r="H24" s="5"/>
      <c r="I24" s="18"/>
    </row>
    <row r="25" spans="1:9" x14ac:dyDescent="0.3">
      <c r="B25" s="5"/>
      <c r="C25" s="5"/>
      <c r="D25" s="5"/>
      <c r="E25" s="5"/>
      <c r="F25" s="5"/>
      <c r="G25" s="5"/>
      <c r="H25" s="5"/>
      <c r="I25" s="18"/>
    </row>
    <row r="26" spans="1:9" x14ac:dyDescent="0.3">
      <c r="B26" s="5"/>
      <c r="C26" s="5"/>
      <c r="D26" s="5"/>
      <c r="E26" s="5"/>
      <c r="F26" s="5"/>
      <c r="G26" s="5"/>
      <c r="H26" s="5"/>
      <c r="I26" s="18"/>
    </row>
    <row r="27" spans="1:9" x14ac:dyDescent="0.3">
      <c r="B27" s="5"/>
      <c r="C27" s="5"/>
      <c r="D27" s="5"/>
      <c r="E27" s="5"/>
      <c r="F27" s="5"/>
      <c r="G27" s="5"/>
      <c r="H27" s="5"/>
      <c r="I27" s="18"/>
    </row>
    <row r="28" spans="1:9" x14ac:dyDescent="0.3">
      <c r="A28" s="40"/>
      <c r="B28" s="69"/>
      <c r="C28" s="5"/>
      <c r="D28" s="5"/>
      <c r="E28" s="5"/>
      <c r="F28" s="5"/>
      <c r="G28" s="31"/>
      <c r="H28" s="5"/>
      <c r="I28" s="18"/>
    </row>
    <row r="29" spans="1:9" x14ac:dyDescent="0.3">
      <c r="A29" s="40"/>
      <c r="B29" s="69"/>
      <c r="C29" s="5"/>
      <c r="D29" s="5"/>
      <c r="E29" s="5"/>
      <c r="F29" s="5"/>
      <c r="G29" s="63"/>
      <c r="H29" s="5"/>
      <c r="I29" s="18"/>
    </row>
    <row r="30" spans="1:9" x14ac:dyDescent="0.3">
      <c r="A30" s="40"/>
      <c r="B30" s="69"/>
      <c r="C30" s="5"/>
      <c r="D30" s="5"/>
      <c r="E30" s="5"/>
      <c r="F30" s="5"/>
      <c r="G30" s="31"/>
      <c r="H30" s="5"/>
      <c r="I30" s="18"/>
    </row>
    <row r="31" spans="1:9" x14ac:dyDescent="0.3">
      <c r="I31" s="19"/>
    </row>
    <row r="32" spans="1:9" x14ac:dyDescent="0.3">
      <c r="I32" s="18"/>
    </row>
    <row r="33" spans="1:10" x14ac:dyDescent="0.3">
      <c r="I33" s="18"/>
    </row>
    <row r="34" spans="1:10" x14ac:dyDescent="0.3">
      <c r="I34" s="18"/>
    </row>
    <row r="36" spans="1:10" x14ac:dyDescent="0.3">
      <c r="A36" s="73"/>
      <c r="B36" s="73"/>
      <c r="C36" s="73"/>
      <c r="D36" s="73"/>
      <c r="E36" s="73"/>
      <c r="F36" s="73"/>
      <c r="G36" s="73"/>
      <c r="I36" s="73"/>
      <c r="J36" s="73"/>
    </row>
    <row r="37" spans="1:10" x14ac:dyDescent="0.3">
      <c r="A37" s="5"/>
      <c r="B37" s="5"/>
      <c r="C37" s="5"/>
      <c r="D37" s="5"/>
      <c r="E37" s="5"/>
      <c r="F37" s="5"/>
      <c r="G37" s="5"/>
      <c r="I37" s="5"/>
      <c r="J37" s="5"/>
    </row>
    <row r="38" spans="1:10" x14ac:dyDescent="0.3">
      <c r="A38" s="31"/>
      <c r="B38" s="72"/>
      <c r="C38" s="72"/>
      <c r="D38" s="72"/>
      <c r="E38" s="72"/>
      <c r="F38" s="72"/>
      <c r="G38" s="72"/>
      <c r="H38" s="72"/>
      <c r="I38" s="72"/>
      <c r="J38" s="72"/>
    </row>
    <row r="39" spans="1:10" x14ac:dyDescent="0.3">
      <c r="A39" s="63"/>
      <c r="B39" s="5"/>
      <c r="C39" s="5"/>
      <c r="D39" s="5"/>
      <c r="E39" s="5"/>
      <c r="F39" s="5"/>
      <c r="G39" s="5"/>
      <c r="H39" s="5"/>
      <c r="I39" s="5"/>
      <c r="J39" s="5"/>
    </row>
    <row r="40" spans="1:10" x14ac:dyDescent="0.3">
      <c r="A40" s="63"/>
      <c r="B40" s="5"/>
      <c r="C40" s="5"/>
      <c r="D40" s="5"/>
      <c r="E40" s="5"/>
      <c r="F40" s="5"/>
      <c r="G40" s="5"/>
      <c r="H40" s="5"/>
      <c r="I40" s="5"/>
      <c r="J40" s="5"/>
    </row>
    <row r="41" spans="1:10" x14ac:dyDescent="0.3">
      <c r="A41" s="63"/>
      <c r="B41" s="5"/>
      <c r="C41" s="5"/>
      <c r="D41" s="5"/>
      <c r="E41" s="5"/>
      <c r="F41" s="5"/>
      <c r="G41" s="5"/>
      <c r="H41" s="5"/>
      <c r="I41" s="5"/>
      <c r="J41" s="5"/>
    </row>
    <row r="42" spans="1:10" x14ac:dyDescent="0.3">
      <c r="A42" s="63"/>
      <c r="B42" s="5"/>
      <c r="C42" s="5"/>
      <c r="D42" s="5"/>
      <c r="E42" s="5"/>
      <c r="F42" s="5"/>
      <c r="G42" s="5"/>
      <c r="H42" s="5"/>
      <c r="I42" s="5"/>
      <c r="J42" s="5"/>
    </row>
    <row r="43" spans="1:10" x14ac:dyDescent="0.3">
      <c r="A43" s="63"/>
      <c r="B43" s="5"/>
      <c r="C43" s="5"/>
      <c r="D43" s="5"/>
      <c r="E43" s="5"/>
      <c r="F43" s="5"/>
      <c r="G43" s="5"/>
      <c r="H43" s="5"/>
      <c r="I43" s="5"/>
      <c r="J43" s="5"/>
    </row>
    <row r="44" spans="1:10" x14ac:dyDescent="0.3">
      <c r="A44" s="63"/>
      <c r="B44" s="5"/>
      <c r="C44" s="5"/>
      <c r="D44" s="5"/>
      <c r="E44" s="5"/>
      <c r="F44" s="5"/>
      <c r="G44" s="5"/>
      <c r="H44" s="5"/>
      <c r="I44" s="5"/>
      <c r="J44" s="5"/>
    </row>
    <row r="45" spans="1:10" x14ac:dyDescent="0.3">
      <c r="A45" s="63"/>
      <c r="B45" s="5"/>
      <c r="C45" s="5"/>
      <c r="D45" s="5"/>
      <c r="E45" s="5"/>
      <c r="F45" s="5"/>
      <c r="G45" s="5"/>
      <c r="H45" s="5"/>
      <c r="I45" s="5"/>
      <c r="J45" s="5"/>
    </row>
    <row r="46" spans="1:10" x14ac:dyDescent="0.3">
      <c r="A46" s="63"/>
      <c r="B46" s="5"/>
      <c r="C46" s="5"/>
      <c r="D46" s="5"/>
      <c r="E46" s="5"/>
      <c r="F46" s="5"/>
      <c r="G46" s="5"/>
      <c r="H46" s="5"/>
      <c r="I46" s="5"/>
      <c r="J46" s="5"/>
    </row>
    <row r="47" spans="1:10" x14ac:dyDescent="0.3">
      <c r="A47" s="63"/>
      <c r="B47" s="5"/>
      <c r="C47" s="5"/>
      <c r="D47" s="5"/>
      <c r="E47" s="5"/>
      <c r="F47" s="5"/>
      <c r="G47" s="5"/>
      <c r="H47" s="5"/>
      <c r="I47" s="5"/>
      <c r="J47" s="5"/>
    </row>
    <row r="48" spans="1:10" x14ac:dyDescent="0.3">
      <c r="A48" s="63"/>
      <c r="B48" s="5"/>
      <c r="C48" s="5"/>
      <c r="D48" s="5"/>
      <c r="E48" s="5"/>
      <c r="F48" s="5"/>
      <c r="G48" s="5"/>
      <c r="H48" s="5"/>
      <c r="I48" s="5"/>
      <c r="J48" s="5"/>
    </row>
    <row r="49" spans="1:10" x14ac:dyDescent="0.3">
      <c r="A49" s="63"/>
      <c r="B49" s="5"/>
      <c r="C49" s="5"/>
      <c r="D49" s="5"/>
      <c r="E49" s="5"/>
      <c r="F49" s="5"/>
      <c r="G49" s="5"/>
      <c r="H49" s="5"/>
      <c r="I49" s="5"/>
      <c r="J49" s="5"/>
    </row>
    <row r="50" spans="1:10" x14ac:dyDescent="0.3">
      <c r="A50" s="63"/>
      <c r="B50" s="5"/>
      <c r="C50" s="5"/>
      <c r="D50" s="5"/>
      <c r="E50" s="5"/>
      <c r="F50" s="5"/>
      <c r="G50" s="5"/>
      <c r="H50" s="5"/>
      <c r="I50" s="5"/>
      <c r="J50" s="5"/>
    </row>
    <row r="51" spans="1:10" x14ac:dyDescent="0.3">
      <c r="A51" s="63"/>
      <c r="B51" s="5"/>
      <c r="C51" s="5"/>
      <c r="D51" s="5"/>
      <c r="E51" s="5"/>
      <c r="F51" s="5"/>
      <c r="G51" s="5"/>
      <c r="H51" s="5"/>
      <c r="I51" s="5"/>
      <c r="J51" s="5"/>
    </row>
    <row r="52" spans="1:10" x14ac:dyDescent="0.3">
      <c r="A52" s="63"/>
      <c r="B52" s="5"/>
      <c r="C52" s="5"/>
      <c r="D52" s="5"/>
      <c r="E52" s="5"/>
      <c r="F52" s="5"/>
      <c r="G52" s="5"/>
      <c r="H52" s="5"/>
      <c r="I52" s="5"/>
      <c r="J52" s="5"/>
    </row>
    <row r="53" spans="1:10" x14ac:dyDescent="0.3">
      <c r="A53" s="63"/>
      <c r="B53" s="5"/>
      <c r="C53" s="5"/>
      <c r="D53" s="5"/>
      <c r="E53" s="5"/>
      <c r="F53" s="5"/>
      <c r="G53" s="5"/>
      <c r="H53" s="5"/>
      <c r="I53" s="5"/>
      <c r="J53" s="5"/>
    </row>
    <row r="54" spans="1:10" x14ac:dyDescent="0.3">
      <c r="A54" s="63"/>
      <c r="B54" s="5"/>
      <c r="C54" s="5"/>
      <c r="D54" s="5"/>
      <c r="E54" s="5"/>
      <c r="F54" s="5"/>
      <c r="G54" s="5"/>
      <c r="H54" s="5"/>
      <c r="I54" s="5"/>
      <c r="J54" s="5"/>
    </row>
    <row r="55" spans="1:10" x14ac:dyDescent="0.3">
      <c r="A55" s="63"/>
      <c r="B55" s="5"/>
      <c r="C55" s="5"/>
      <c r="D55" s="5"/>
      <c r="E55" s="5"/>
      <c r="F55" s="5"/>
      <c r="G55" s="5"/>
      <c r="H55" s="5"/>
      <c r="I55" s="5"/>
      <c r="J55" s="5"/>
    </row>
    <row r="56" spans="1:10" x14ac:dyDescent="0.3">
      <c r="A56" s="63"/>
      <c r="B56" s="5"/>
      <c r="C56" s="5"/>
      <c r="D56" s="5"/>
      <c r="E56" s="5"/>
      <c r="F56" s="5"/>
      <c r="G56" s="5"/>
      <c r="H56" s="5"/>
      <c r="I56" s="5"/>
      <c r="J56" s="5"/>
    </row>
    <row r="57" spans="1:10" x14ac:dyDescent="0.3">
      <c r="A57" s="63"/>
      <c r="B57" s="5"/>
      <c r="C57" s="5"/>
      <c r="D57" s="5"/>
      <c r="E57" s="5"/>
      <c r="F57" s="5"/>
      <c r="G57" s="5"/>
      <c r="H57" s="5"/>
      <c r="I57" s="5"/>
      <c r="J57" s="5"/>
    </row>
    <row r="58" spans="1:10" x14ac:dyDescent="0.3">
      <c r="A58" s="63"/>
      <c r="B58" s="5"/>
      <c r="C58" s="5"/>
      <c r="D58" s="5"/>
      <c r="E58" s="5"/>
      <c r="F58" s="5"/>
      <c r="G58" s="5"/>
      <c r="H58" s="5"/>
      <c r="I58" s="5"/>
      <c r="J58" s="5"/>
    </row>
    <row r="59" spans="1:10" x14ac:dyDescent="0.3">
      <c r="A59" s="63"/>
      <c r="B59" s="5"/>
      <c r="C59" s="5"/>
      <c r="D59" s="5"/>
      <c r="E59" s="5"/>
      <c r="F59" s="5"/>
      <c r="G59" s="5"/>
      <c r="H59" s="5"/>
      <c r="I59" s="5"/>
      <c r="J59" s="5"/>
    </row>
    <row r="60" spans="1:10" x14ac:dyDescent="0.3">
      <c r="A60" s="63"/>
      <c r="B60" s="5"/>
      <c r="C60" s="5"/>
      <c r="D60" s="5"/>
      <c r="E60" s="5"/>
      <c r="F60" s="5"/>
      <c r="G60" s="5"/>
      <c r="H60" s="5"/>
      <c r="I60" s="5"/>
      <c r="J60" s="5"/>
    </row>
    <row r="61" spans="1:10" x14ac:dyDescent="0.3">
      <c r="A61" s="63"/>
      <c r="B61" s="5"/>
      <c r="C61" s="5"/>
      <c r="D61" s="5"/>
      <c r="E61" s="5"/>
      <c r="F61" s="5"/>
      <c r="G61" s="5"/>
      <c r="H61" s="5"/>
      <c r="I61" s="5"/>
      <c r="J61" s="5"/>
    </row>
    <row r="62" spans="1:10" x14ac:dyDescent="0.3">
      <c r="A62" s="63"/>
      <c r="B62" s="5"/>
      <c r="C62" s="5"/>
      <c r="D62" s="5"/>
      <c r="E62" s="5"/>
      <c r="F62" s="5"/>
      <c r="G62" s="5"/>
      <c r="H62" s="5"/>
      <c r="I62" s="5"/>
      <c r="J62" s="5"/>
    </row>
    <row r="63" spans="1:10" x14ac:dyDescent="0.3">
      <c r="A63" s="63"/>
      <c r="B63" s="5"/>
      <c r="C63" s="5"/>
      <c r="D63" s="5"/>
      <c r="E63" s="5"/>
      <c r="F63" s="5"/>
      <c r="G63" s="5"/>
      <c r="H63" s="5"/>
      <c r="I63" s="5"/>
      <c r="J63" s="5"/>
    </row>
    <row r="64" spans="1:10" x14ac:dyDescent="0.3">
      <c r="A64" s="63"/>
      <c r="B64" s="5"/>
      <c r="C64" s="5"/>
      <c r="D64" s="5"/>
      <c r="E64" s="5"/>
      <c r="F64" s="5"/>
      <c r="G64" s="5"/>
      <c r="H64" s="5"/>
      <c r="I64" s="5"/>
      <c r="J64" s="5"/>
    </row>
    <row r="65" spans="1:10" x14ac:dyDescent="0.3">
      <c r="A65" s="63"/>
      <c r="B65" s="5"/>
      <c r="C65" s="5"/>
      <c r="D65" s="5"/>
      <c r="E65" s="5"/>
      <c r="F65" s="5"/>
      <c r="G65" s="5"/>
      <c r="H65" s="5"/>
      <c r="I65" s="5"/>
      <c r="J65" s="5"/>
    </row>
    <row r="66" spans="1:10" x14ac:dyDescent="0.3">
      <c r="A66" s="63"/>
      <c r="B66" s="5"/>
      <c r="C66" s="5"/>
      <c r="D66" s="5"/>
      <c r="E66" s="5"/>
      <c r="F66" s="5"/>
      <c r="G66" s="5"/>
      <c r="H66" s="5"/>
      <c r="I66" s="5"/>
      <c r="J66" s="5"/>
    </row>
    <row r="67" spans="1:10" x14ac:dyDescent="0.3">
      <c r="A67" s="63"/>
      <c r="B67" s="5"/>
      <c r="C67" s="5"/>
      <c r="D67" s="5"/>
      <c r="E67" s="5"/>
      <c r="F67" s="5"/>
      <c r="G67" s="5"/>
      <c r="H67" s="5"/>
      <c r="I67" s="5"/>
      <c r="J67" s="5"/>
    </row>
    <row r="68" spans="1:10" x14ac:dyDescent="0.3">
      <c r="A68" s="63"/>
      <c r="B68" s="5"/>
      <c r="C68" s="5"/>
      <c r="D68" s="5"/>
      <c r="E68" s="5"/>
      <c r="F68" s="5"/>
      <c r="G68" s="5"/>
      <c r="H68" s="5"/>
      <c r="I68" s="5"/>
      <c r="J68" s="5"/>
    </row>
    <row r="69" spans="1:10" x14ac:dyDescent="0.3">
      <c r="A69" s="5"/>
      <c r="B69" s="5"/>
      <c r="C69" s="5"/>
      <c r="D69" s="5"/>
      <c r="E69" s="5"/>
      <c r="F69" s="5"/>
      <c r="G69" s="5"/>
      <c r="H69" s="5"/>
      <c r="I69" s="5"/>
      <c r="J69" s="5"/>
    </row>
    <row r="70" spans="1:10" x14ac:dyDescent="0.3">
      <c r="A70" s="5"/>
      <c r="B70" s="5"/>
      <c r="C70" s="5"/>
      <c r="D70" s="5"/>
      <c r="E70" s="5"/>
      <c r="F70" s="5"/>
      <c r="G70" s="5"/>
      <c r="H70" s="5"/>
      <c r="I70" s="5"/>
      <c r="J70" s="5"/>
    </row>
    <row r="71" spans="1:10" x14ac:dyDescent="0.3">
      <c r="A71" s="5"/>
      <c r="B71" s="5"/>
      <c r="C71" s="5"/>
      <c r="D71" s="5"/>
      <c r="E71" s="5"/>
      <c r="F71" s="5"/>
      <c r="G71" s="5"/>
      <c r="H71" s="5"/>
      <c r="I71" s="5"/>
      <c r="J71" s="5"/>
    </row>
    <row r="72" spans="1:10" x14ac:dyDescent="0.3">
      <c r="A72" s="5"/>
      <c r="B72" s="5"/>
      <c r="C72" s="5"/>
      <c r="D72" s="5"/>
      <c r="E72" s="5"/>
      <c r="F72" s="5"/>
      <c r="G72" s="5"/>
      <c r="H72" s="5"/>
      <c r="I72" s="5"/>
      <c r="J72" s="5"/>
    </row>
  </sheetData>
  <mergeCells count="12">
    <mergeCell ref="A5:A6"/>
    <mergeCell ref="A1:J1"/>
    <mergeCell ref="E8:H8"/>
    <mergeCell ref="B8:B11"/>
    <mergeCell ref="A8:A11"/>
    <mergeCell ref="E2:H3"/>
    <mergeCell ref="E9:H9"/>
    <mergeCell ref="E10:H10"/>
    <mergeCell ref="E11:H11"/>
    <mergeCell ref="B5:B6"/>
    <mergeCell ref="E5:H5"/>
    <mergeCell ref="E6:H6"/>
  </mergeCell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198"/>
  <sheetViews>
    <sheetView showGridLines="0" showRuler="0" showWhiteSpace="0" view="pageLayout" zoomScale="90" zoomScaleNormal="30" zoomScalePageLayoutView="90" workbookViewId="0">
      <selection activeCell="B44" sqref="B44:E62"/>
    </sheetView>
  </sheetViews>
  <sheetFormatPr defaultColWidth="8.77734375" defaultRowHeight="14.4" x14ac:dyDescent="0.3"/>
  <cols>
    <col min="1" max="1" width="8.77734375" style="7"/>
    <col min="2" max="2" width="8.77734375" style="7" customWidth="1"/>
    <col min="3" max="16384" width="8.77734375" style="7"/>
  </cols>
  <sheetData>
    <row r="1" spans="1:14" ht="23.7" customHeight="1" x14ac:dyDescent="0.45">
      <c r="A1" s="41"/>
      <c r="B1" s="41"/>
      <c r="C1" s="41"/>
      <c r="D1" s="41"/>
      <c r="E1" s="41"/>
      <c r="F1" s="41"/>
      <c r="G1" s="41"/>
      <c r="H1" s="194" t="str">
        <f>"ErgoCheck Risk Report"&amp;CHAR(10)&amp;IFERROR(VLOOKUP('Answer Sheet'!C14,'Matrix - Part 1'!C5:D6,2,FALSE),"")</f>
        <v xml:space="preserve">ErgoCheck Risk Report
</v>
      </c>
      <c r="I1" s="196"/>
      <c r="J1" s="196"/>
      <c r="K1" s="196"/>
      <c r="L1" s="196"/>
      <c r="M1" s="196"/>
      <c r="N1" s="41"/>
    </row>
    <row r="2" spans="1:14" ht="14.4" customHeight="1" x14ac:dyDescent="0.3">
      <c r="A2" s="42"/>
      <c r="B2" s="42"/>
      <c r="C2" s="42"/>
      <c r="D2" s="42"/>
      <c r="E2" s="42"/>
      <c r="F2" s="42"/>
      <c r="G2" s="42"/>
      <c r="H2" s="196"/>
      <c r="I2" s="196"/>
      <c r="J2" s="196"/>
      <c r="K2" s="196"/>
      <c r="L2" s="196"/>
      <c r="M2" s="196"/>
      <c r="N2" s="42"/>
    </row>
    <row r="3" spans="1:14" ht="14.55" customHeight="1" x14ac:dyDescent="0.3">
      <c r="A3" s="42"/>
      <c r="B3" s="42"/>
      <c r="C3" s="42"/>
      <c r="D3" s="42"/>
      <c r="E3" s="42"/>
      <c r="F3" s="42"/>
      <c r="G3" s="42"/>
      <c r="H3" s="196"/>
      <c r="I3" s="196"/>
      <c r="J3" s="196"/>
      <c r="K3" s="196"/>
      <c r="L3" s="196"/>
      <c r="M3" s="196"/>
      <c r="N3" s="42"/>
    </row>
    <row r="4" spans="1:14" x14ac:dyDescent="0.3">
      <c r="A4" s="14"/>
      <c r="B4" s="14"/>
      <c r="C4" s="14"/>
      <c r="D4" s="14"/>
      <c r="E4" s="14"/>
      <c r="G4" s="14"/>
      <c r="H4" s="14"/>
      <c r="I4" s="14"/>
      <c r="J4" s="14"/>
      <c r="K4" s="14"/>
      <c r="L4" s="14"/>
      <c r="M4" s="14"/>
      <c r="N4" s="14"/>
    </row>
    <row r="5" spans="1:14" ht="14.55" customHeight="1" x14ac:dyDescent="0.3">
      <c r="A5" s="81"/>
      <c r="B5" s="208" t="str">
        <f>'Matrix - Part 1'!E2</f>
        <v>This report has been generated to inform departmental leadership of the unique and personal challenges a worker has reported when performing the job duty of . Ergonomic hazards associated with contact stress, force, awkward posture and repetition are prioritized based on the level of risk. The worker has been in this occupation for  of which  has been with the City.</v>
      </c>
      <c r="C5" s="208"/>
      <c r="D5" s="208"/>
      <c r="E5" s="208"/>
      <c r="F5" s="208"/>
      <c r="G5" s="208"/>
      <c r="H5" s="208"/>
      <c r="I5" s="208"/>
      <c r="J5" s="208"/>
      <c r="K5" s="208"/>
      <c r="L5" s="208"/>
      <c r="M5" s="208"/>
      <c r="N5" s="83"/>
    </row>
    <row r="6" spans="1:14" ht="14.55" customHeight="1" x14ac:dyDescent="0.3">
      <c r="A6" s="84"/>
      <c r="B6" s="208"/>
      <c r="C6" s="208"/>
      <c r="D6" s="208"/>
      <c r="E6" s="208"/>
      <c r="F6" s="208"/>
      <c r="G6" s="208"/>
      <c r="H6" s="208"/>
      <c r="I6" s="208"/>
      <c r="J6" s="208"/>
      <c r="K6" s="208"/>
      <c r="L6" s="208"/>
      <c r="M6" s="208"/>
      <c r="N6" s="83"/>
    </row>
    <row r="7" spans="1:14" ht="14.55" customHeight="1" x14ac:dyDescent="0.3">
      <c r="A7" s="84"/>
      <c r="B7" s="208"/>
      <c r="C7" s="208"/>
      <c r="D7" s="208"/>
      <c r="E7" s="208"/>
      <c r="F7" s="208"/>
      <c r="G7" s="208"/>
      <c r="H7" s="208"/>
      <c r="I7" s="208"/>
      <c r="J7" s="208"/>
      <c r="K7" s="208"/>
      <c r="L7" s="208"/>
      <c r="M7" s="208"/>
      <c r="N7" s="83"/>
    </row>
    <row r="8" spans="1:14" ht="14.55" customHeight="1" x14ac:dyDescent="0.3">
      <c r="A8" s="84"/>
      <c r="B8" s="208"/>
      <c r="C8" s="208"/>
      <c r="D8" s="208"/>
      <c r="E8" s="208"/>
      <c r="F8" s="208"/>
      <c r="G8" s="208"/>
      <c r="H8" s="208"/>
      <c r="I8" s="208"/>
      <c r="J8" s="208"/>
      <c r="K8" s="208"/>
      <c r="L8" s="208"/>
      <c r="M8" s="208"/>
      <c r="N8" s="83"/>
    </row>
    <row r="9" spans="1:14" ht="14.55" customHeight="1" x14ac:dyDescent="0.3">
      <c r="A9" s="84"/>
      <c r="B9" s="85"/>
      <c r="C9" s="85"/>
      <c r="D9" s="85"/>
      <c r="E9" s="86"/>
      <c r="F9" s="86"/>
      <c r="G9" s="86"/>
      <c r="H9" s="86"/>
      <c r="I9" s="86"/>
      <c r="J9" s="86"/>
      <c r="K9" s="86"/>
      <c r="L9" s="86"/>
      <c r="M9" s="86"/>
      <c r="N9" s="83"/>
    </row>
    <row r="10" spans="1:14" ht="14.55" customHeight="1" x14ac:dyDescent="0.3">
      <c r="A10" s="84"/>
      <c r="B10" s="206" t="str">
        <f>IFERROR("A total of "&amp;'Matrix - Part 1'!E19&amp;" hazards have been identified.","")</f>
        <v>A total of 0 hazards have been identified.</v>
      </c>
      <c r="C10" s="206"/>
      <c r="D10" s="206"/>
      <c r="E10" s="206"/>
      <c r="F10" s="206"/>
      <c r="G10" s="206"/>
      <c r="H10" s="206"/>
      <c r="I10" s="206"/>
      <c r="J10" s="206"/>
      <c r="K10" s="206"/>
      <c r="L10" s="206"/>
      <c r="M10" s="206"/>
      <c r="N10" s="83"/>
    </row>
    <row r="11" spans="1:14" ht="14.55" customHeight="1" thickBot="1" x14ac:dyDescent="0.35">
      <c r="A11" s="84"/>
      <c r="C11" s="80"/>
      <c r="D11" s="80"/>
      <c r="E11" s="80"/>
      <c r="F11" s="80"/>
      <c r="G11" s="80"/>
      <c r="H11" s="80"/>
      <c r="I11" s="80"/>
      <c r="J11" s="80"/>
      <c r="K11" s="80"/>
      <c r="L11" s="80"/>
      <c r="M11" s="80"/>
      <c r="N11" s="83"/>
    </row>
    <row r="12" spans="1:14" ht="15" customHeight="1" thickTop="1" thickBot="1" x14ac:dyDescent="0.35">
      <c r="A12" s="81"/>
      <c r="B12" s="88"/>
      <c r="C12" s="79"/>
      <c r="D12" s="204" t="s">
        <v>353</v>
      </c>
      <c r="E12" s="204"/>
      <c r="F12" s="204"/>
      <c r="G12" s="204"/>
      <c r="H12" s="205"/>
      <c r="I12" s="198">
        <f>'Matrix - Part 1'!A19</f>
        <v>0</v>
      </c>
      <c r="J12" s="199"/>
      <c r="K12" s="79"/>
      <c r="L12" s="79"/>
      <c r="M12" s="79"/>
      <c r="N12" s="87"/>
    </row>
    <row r="13" spans="1:14" ht="14.55" customHeight="1" thickTop="1" thickBot="1" x14ac:dyDescent="0.35">
      <c r="A13" s="81"/>
      <c r="B13" s="79"/>
      <c r="C13" s="79"/>
      <c r="D13" s="204" t="s">
        <v>354</v>
      </c>
      <c r="E13" s="204"/>
      <c r="F13" s="204"/>
      <c r="G13" s="204"/>
      <c r="H13" s="205"/>
      <c r="I13" s="200">
        <f>'Matrix - Part 1'!B19</f>
        <v>0</v>
      </c>
      <c r="J13" s="201"/>
      <c r="K13" s="79"/>
      <c r="L13" s="79"/>
      <c r="M13" s="79"/>
      <c r="N13" s="87"/>
    </row>
    <row r="14" spans="1:14" ht="14.55" customHeight="1" thickTop="1" thickBot="1" x14ac:dyDescent="0.35">
      <c r="A14" s="81"/>
      <c r="B14" s="79"/>
      <c r="C14" s="79"/>
      <c r="D14" s="204" t="s">
        <v>355</v>
      </c>
      <c r="E14" s="204"/>
      <c r="F14" s="204"/>
      <c r="G14" s="204"/>
      <c r="H14" s="205"/>
      <c r="I14" s="202">
        <f>'Matrix - Part 1'!C19</f>
        <v>0</v>
      </c>
      <c r="J14" s="203"/>
      <c r="K14" s="79"/>
      <c r="L14" s="79"/>
      <c r="M14" s="79"/>
      <c r="N14" s="87"/>
    </row>
    <row r="15" spans="1:14" ht="14.55" customHeight="1" thickTop="1" x14ac:dyDescent="0.3">
      <c r="A15" s="81"/>
      <c r="B15" s="79"/>
      <c r="C15" s="79"/>
      <c r="D15" s="95"/>
      <c r="E15" s="95"/>
      <c r="F15" s="95"/>
      <c r="G15" s="95"/>
      <c r="H15" s="96"/>
      <c r="I15" s="97"/>
      <c r="J15" s="97"/>
      <c r="K15" s="79"/>
      <c r="L15" s="79"/>
      <c r="M15" s="79"/>
      <c r="N15" s="87"/>
    </row>
    <row r="16" spans="1:14" ht="14.55" customHeight="1" x14ac:dyDescent="0.3">
      <c r="A16" s="81"/>
      <c r="B16" s="207" t="s">
        <v>442</v>
      </c>
      <c r="C16" s="207"/>
      <c r="D16" s="207"/>
      <c r="E16" s="207"/>
      <c r="F16" s="207"/>
      <c r="G16" s="207"/>
      <c r="H16" s="207"/>
      <c r="I16" s="207"/>
      <c r="J16" s="207"/>
      <c r="K16" s="207"/>
      <c r="L16" s="207"/>
      <c r="M16" s="207"/>
      <c r="N16" s="87"/>
    </row>
    <row r="17" spans="1:23" x14ac:dyDescent="0.3">
      <c r="A17" s="81"/>
      <c r="B17" s="79"/>
      <c r="C17" s="79"/>
      <c r="D17" s="79"/>
      <c r="E17" s="79"/>
      <c r="F17" s="79"/>
      <c r="G17" s="79"/>
      <c r="H17" s="91"/>
      <c r="I17" s="79"/>
      <c r="J17" s="79"/>
      <c r="K17" s="79"/>
      <c r="L17" s="79"/>
      <c r="M17" s="79"/>
      <c r="N17" s="87"/>
    </row>
    <row r="18" spans="1:23" ht="14.55" customHeight="1" x14ac:dyDescent="0.3">
      <c r="A18" s="81"/>
      <c r="B18" s="197" t="str">
        <f>IFERROR(VLOOKUP('Answer Sheet'!C16,'Matrix - Part 1'!C8:H11,3,FALSE),"")</f>
        <v/>
      </c>
      <c r="C18" s="197"/>
      <c r="D18" s="197"/>
      <c r="E18" s="197"/>
      <c r="F18" s="197"/>
      <c r="G18" s="197"/>
      <c r="H18" s="197"/>
      <c r="I18" s="197"/>
      <c r="J18" s="197"/>
      <c r="K18" s="197"/>
      <c r="L18" s="197"/>
      <c r="M18" s="197"/>
      <c r="N18" s="87"/>
    </row>
    <row r="19" spans="1:23" ht="27" customHeight="1" x14ac:dyDescent="0.3">
      <c r="A19" s="81"/>
      <c r="B19" s="197"/>
      <c r="C19" s="197"/>
      <c r="D19" s="197"/>
      <c r="E19" s="197"/>
      <c r="F19" s="197"/>
      <c r="G19" s="197"/>
      <c r="H19" s="197"/>
      <c r="I19" s="197"/>
      <c r="J19" s="197"/>
      <c r="K19" s="197"/>
      <c r="L19" s="197"/>
      <c r="M19" s="197"/>
      <c r="N19" s="87"/>
      <c r="R19"/>
    </row>
    <row r="20" spans="1:23" x14ac:dyDescent="0.3">
      <c r="A20" s="81"/>
      <c r="B20" s="89"/>
      <c r="C20" s="82"/>
      <c r="D20" s="82"/>
      <c r="E20" s="82"/>
      <c r="F20" s="82"/>
      <c r="G20" s="82"/>
      <c r="H20" s="82"/>
      <c r="I20" s="82"/>
      <c r="J20" s="82"/>
      <c r="K20" s="82"/>
      <c r="L20" s="82"/>
      <c r="M20" s="89"/>
      <c r="N20" s="87"/>
    </row>
    <row r="21" spans="1:23" ht="14.55" customHeight="1" x14ac:dyDescent="0.3">
      <c r="A21" s="81"/>
      <c r="B21" s="89"/>
      <c r="C21" s="89"/>
      <c r="D21" s="89"/>
      <c r="E21" s="89"/>
      <c r="F21" s="89"/>
      <c r="G21" s="89"/>
      <c r="H21" s="176" t="s">
        <v>447</v>
      </c>
      <c r="I21" s="176"/>
      <c r="J21" s="176"/>
      <c r="K21" s="176"/>
      <c r="L21" s="176"/>
      <c r="M21" s="176"/>
      <c r="N21" s="87"/>
    </row>
    <row r="22" spans="1:23" x14ac:dyDescent="0.3">
      <c r="A22" s="81"/>
      <c r="B22" s="89"/>
      <c r="C22" s="89"/>
      <c r="D22" s="89"/>
      <c r="E22" s="89"/>
      <c r="F22" s="89"/>
      <c r="G22" s="89"/>
      <c r="H22" s="176"/>
      <c r="I22" s="176"/>
      <c r="J22" s="176"/>
      <c r="K22" s="176"/>
      <c r="L22" s="176"/>
      <c r="M22" s="176"/>
      <c r="N22" s="87"/>
    </row>
    <row r="23" spans="1:23" x14ac:dyDescent="0.3">
      <c r="A23" s="81"/>
      <c r="B23" s="89"/>
      <c r="C23" s="89"/>
      <c r="D23" s="89"/>
      <c r="E23" s="89"/>
      <c r="F23" s="89"/>
      <c r="G23" s="89"/>
      <c r="H23" s="176"/>
      <c r="I23" s="176"/>
      <c r="J23" s="176"/>
      <c r="K23" s="176"/>
      <c r="L23" s="176"/>
      <c r="M23" s="176"/>
      <c r="N23" s="87"/>
    </row>
    <row r="24" spans="1:23" x14ac:dyDescent="0.3">
      <c r="A24" s="81"/>
      <c r="B24" s="89"/>
      <c r="C24" s="89"/>
      <c r="D24" s="89"/>
      <c r="E24" s="89"/>
      <c r="F24" s="89"/>
      <c r="G24" s="89"/>
      <c r="H24" s="176"/>
      <c r="I24" s="176"/>
      <c r="J24" s="176"/>
      <c r="K24" s="176"/>
      <c r="L24" s="176"/>
      <c r="M24" s="176"/>
      <c r="N24" s="87"/>
    </row>
    <row r="25" spans="1:23" x14ac:dyDescent="0.3">
      <c r="A25" s="81"/>
      <c r="B25" s="89"/>
      <c r="C25" s="89"/>
      <c r="D25" s="89"/>
      <c r="E25" s="89"/>
      <c r="F25" s="89"/>
      <c r="G25" s="89"/>
      <c r="H25" s="176"/>
      <c r="I25" s="176"/>
      <c r="J25" s="176"/>
      <c r="K25" s="176"/>
      <c r="L25" s="176"/>
      <c r="M25" s="176"/>
      <c r="N25" s="87"/>
    </row>
    <row r="26" spans="1:23" x14ac:dyDescent="0.3">
      <c r="A26" s="81"/>
      <c r="B26" s="79"/>
      <c r="C26" s="79"/>
      <c r="D26" s="79"/>
      <c r="E26" s="79"/>
      <c r="F26" s="79"/>
      <c r="G26" s="79"/>
      <c r="H26" s="176"/>
      <c r="I26" s="176"/>
      <c r="J26" s="176"/>
      <c r="K26" s="176"/>
      <c r="L26" s="176"/>
      <c r="M26" s="176"/>
      <c r="N26" s="87"/>
    </row>
    <row r="27" spans="1:23" x14ac:dyDescent="0.3">
      <c r="A27" s="81"/>
      <c r="B27" s="79"/>
      <c r="C27" s="79"/>
      <c r="D27" s="79"/>
      <c r="E27" s="79"/>
      <c r="F27" s="79"/>
      <c r="G27" s="79"/>
      <c r="H27" s="176"/>
      <c r="I27" s="176"/>
      <c r="J27" s="176"/>
      <c r="K27" s="176"/>
      <c r="L27" s="176"/>
      <c r="M27" s="176"/>
      <c r="N27" s="87"/>
    </row>
    <row r="28" spans="1:23" x14ac:dyDescent="0.3">
      <c r="A28" s="83"/>
      <c r="B28" s="83"/>
      <c r="C28" s="83"/>
      <c r="D28" s="83"/>
      <c r="E28" s="83"/>
      <c r="F28" s="83"/>
      <c r="G28" s="83"/>
      <c r="H28" s="176"/>
      <c r="I28" s="176"/>
      <c r="J28" s="176"/>
      <c r="K28" s="176"/>
      <c r="L28" s="176"/>
      <c r="M28" s="176"/>
      <c r="N28" s="83"/>
    </row>
    <row r="29" spans="1:23" ht="14.55" customHeight="1" x14ac:dyDescent="0.3">
      <c r="A29" s="103"/>
      <c r="B29" s="104"/>
      <c r="C29" s="104"/>
      <c r="D29" s="104"/>
      <c r="E29" s="104"/>
      <c r="F29" s="104"/>
      <c r="G29" s="104"/>
      <c r="H29" s="176"/>
      <c r="I29" s="176"/>
      <c r="J29" s="176"/>
      <c r="K29" s="176"/>
      <c r="L29" s="176"/>
      <c r="M29" s="176"/>
      <c r="N29" s="104"/>
      <c r="O29" s="14"/>
      <c r="P29" s="14"/>
      <c r="Q29" s="14"/>
      <c r="R29" s="14"/>
      <c r="S29" s="14"/>
      <c r="T29" s="14"/>
      <c r="U29" s="14"/>
      <c r="V29" s="14"/>
      <c r="W29" s="14"/>
    </row>
    <row r="30" spans="1:23" x14ac:dyDescent="0.3">
      <c r="A30" s="175" t="s">
        <v>465</v>
      </c>
      <c r="B30" s="175"/>
      <c r="C30" s="175"/>
      <c r="D30" s="175"/>
      <c r="E30" s="175"/>
      <c r="F30" s="175"/>
      <c r="G30" s="175"/>
      <c r="H30" s="175"/>
      <c r="I30" s="175"/>
      <c r="J30" s="175"/>
      <c r="K30" s="175"/>
      <c r="L30" s="175"/>
      <c r="M30" s="175"/>
      <c r="N30" s="175"/>
      <c r="O30" s="14"/>
      <c r="P30" s="14"/>
      <c r="Q30" s="14"/>
      <c r="R30" s="14"/>
      <c r="S30" s="14"/>
      <c r="T30" s="14"/>
      <c r="U30" s="14"/>
      <c r="V30" s="14"/>
      <c r="W30" s="14"/>
    </row>
    <row r="31" spans="1:23" x14ac:dyDescent="0.3">
      <c r="A31" s="175" t="str">
        <f ca="1">"Report ID "&amp;TEXT(NOW(),"MDHM-Y")</f>
        <v>Report ID 1201129-22</v>
      </c>
      <c r="B31" s="175"/>
      <c r="C31" s="175"/>
      <c r="D31" s="175"/>
      <c r="E31" s="175"/>
      <c r="F31" s="175"/>
      <c r="G31" s="175"/>
      <c r="H31" s="175"/>
      <c r="I31" s="175"/>
      <c r="J31" s="175"/>
      <c r="K31" s="175"/>
      <c r="L31" s="175"/>
      <c r="M31" s="175"/>
      <c r="N31" s="175"/>
      <c r="O31" s="14"/>
      <c r="P31" s="14"/>
      <c r="Q31" s="14"/>
      <c r="R31" s="14"/>
      <c r="S31" s="14"/>
      <c r="T31" s="14"/>
      <c r="U31" s="14"/>
      <c r="V31" s="14"/>
      <c r="W31" s="14"/>
    </row>
    <row r="32" spans="1:23" x14ac:dyDescent="0.3">
      <c r="A32" s="175" t="s">
        <v>347</v>
      </c>
      <c r="B32" s="175"/>
      <c r="C32" s="175"/>
      <c r="D32" s="175"/>
      <c r="E32" s="175"/>
      <c r="F32" s="175"/>
      <c r="G32" s="175"/>
      <c r="H32" s="175"/>
      <c r="I32" s="175"/>
      <c r="J32" s="175"/>
      <c r="K32" s="175"/>
      <c r="L32" s="175"/>
      <c r="M32" s="175"/>
      <c r="N32" s="175"/>
      <c r="O32" s="14"/>
      <c r="P32" s="14"/>
      <c r="Q32" s="14"/>
      <c r="R32" s="14"/>
      <c r="S32" s="14"/>
      <c r="T32" s="14"/>
      <c r="U32" s="14"/>
      <c r="V32" s="14"/>
      <c r="W32" s="14"/>
    </row>
    <row r="33" spans="1:14" x14ac:dyDescent="0.3">
      <c r="A33" s="81"/>
      <c r="B33" s="79"/>
      <c r="C33" s="79"/>
      <c r="D33" s="79"/>
      <c r="E33" s="79"/>
      <c r="F33" s="79"/>
      <c r="G33" s="79"/>
      <c r="H33" s="79"/>
      <c r="I33" s="79"/>
      <c r="J33" s="79"/>
      <c r="K33" s="79"/>
      <c r="L33" s="79"/>
      <c r="M33" s="79"/>
      <c r="N33" s="87"/>
    </row>
    <row r="34" spans="1:14" ht="23.55" customHeight="1" x14ac:dyDescent="0.3">
      <c r="A34" s="81"/>
      <c r="B34" s="34"/>
      <c r="C34" s="34"/>
      <c r="D34" s="34"/>
      <c r="E34" s="34"/>
      <c r="F34" s="34"/>
      <c r="G34" s="34"/>
      <c r="H34" s="194" t="s">
        <v>174</v>
      </c>
      <c r="I34" s="194"/>
      <c r="J34" s="194"/>
      <c r="K34" s="194"/>
      <c r="L34" s="194"/>
      <c r="M34" s="194"/>
      <c r="N34" s="87"/>
    </row>
    <row r="35" spans="1:14" ht="14.55" customHeight="1" x14ac:dyDescent="0.3">
      <c r="A35" s="81"/>
      <c r="B35" s="87"/>
      <c r="C35" s="87"/>
      <c r="D35" s="87"/>
      <c r="E35" s="87"/>
      <c r="F35" s="87"/>
      <c r="G35" s="87"/>
      <c r="H35" s="194"/>
      <c r="I35" s="194"/>
      <c r="J35" s="194"/>
      <c r="K35" s="194"/>
      <c r="L35" s="194"/>
      <c r="M35" s="194"/>
      <c r="N35" s="81"/>
    </row>
    <row r="36" spans="1:14" ht="14.55" customHeight="1" x14ac:dyDescent="0.3">
      <c r="A36" s="81"/>
      <c r="B36" s="87"/>
      <c r="C36" s="87"/>
      <c r="D36" s="87"/>
      <c r="E36" s="87"/>
      <c r="F36" s="87"/>
      <c r="G36" s="87"/>
      <c r="H36" s="194"/>
      <c r="I36" s="194"/>
      <c r="J36" s="194"/>
      <c r="K36" s="194"/>
      <c r="L36" s="194"/>
      <c r="M36" s="194"/>
      <c r="N36" s="81"/>
    </row>
    <row r="37" spans="1:14" x14ac:dyDescent="0.3">
      <c r="A37" s="81"/>
      <c r="B37" s="87"/>
      <c r="C37" s="87"/>
      <c r="D37" s="87"/>
      <c r="E37" s="87"/>
      <c r="F37" s="87"/>
      <c r="G37" s="87"/>
      <c r="H37" s="81"/>
      <c r="I37" s="81"/>
      <c r="J37" s="81"/>
      <c r="K37" s="81"/>
      <c r="L37" s="81"/>
      <c r="M37" s="81"/>
      <c r="N37" s="81"/>
    </row>
    <row r="38" spans="1:14" x14ac:dyDescent="0.3">
      <c r="B38" s="195" t="s">
        <v>170</v>
      </c>
      <c r="C38" s="195"/>
      <c r="D38" s="195"/>
      <c r="E38" s="162" t="s">
        <v>171</v>
      </c>
      <c r="F38" s="162"/>
      <c r="G38" s="162"/>
      <c r="H38" s="162"/>
      <c r="I38" s="162"/>
      <c r="J38" s="162"/>
      <c r="K38" s="162"/>
      <c r="L38" s="162"/>
      <c r="M38" s="162"/>
    </row>
    <row r="39" spans="1:14" ht="14.55" customHeight="1" x14ac:dyDescent="0.3">
      <c r="B39" s="180">
        <f>'Matrix - Part 2'!I28</f>
        <v>0</v>
      </c>
      <c r="C39" s="180"/>
      <c r="D39" s="180"/>
      <c r="E39" s="181" t="e">
        <f>VLOOKUP(B39,'Matrix - Part 2'!A33:B62,2,FALSE)</f>
        <v>#N/A</v>
      </c>
      <c r="F39" s="181"/>
      <c r="G39" s="181"/>
      <c r="H39" s="181"/>
      <c r="I39" s="181"/>
      <c r="J39" s="181"/>
      <c r="K39" s="181"/>
      <c r="L39" s="181"/>
      <c r="M39" s="181"/>
    </row>
    <row r="40" spans="1:14" ht="14.55" customHeight="1" x14ac:dyDescent="0.3">
      <c r="B40" s="180"/>
      <c r="C40" s="180"/>
      <c r="D40" s="180"/>
      <c r="E40" s="181"/>
      <c r="F40" s="181"/>
      <c r="G40" s="181"/>
      <c r="H40" s="181"/>
      <c r="I40" s="181"/>
      <c r="J40" s="181"/>
      <c r="K40" s="181"/>
      <c r="L40" s="181"/>
      <c r="M40" s="181"/>
    </row>
    <row r="41" spans="1:14" ht="14.55" customHeight="1" x14ac:dyDescent="0.3">
      <c r="B41" s="180"/>
      <c r="C41" s="180"/>
      <c r="D41" s="180"/>
      <c r="E41" s="181"/>
      <c r="F41" s="181"/>
      <c r="G41" s="181"/>
      <c r="H41" s="181"/>
      <c r="I41" s="181"/>
      <c r="J41" s="181"/>
      <c r="K41" s="181"/>
      <c r="L41" s="181"/>
      <c r="M41" s="181"/>
    </row>
    <row r="43" spans="1:14" ht="15" thickBot="1" x14ac:dyDescent="0.35">
      <c r="B43" s="177" t="s">
        <v>144</v>
      </c>
      <c r="C43" s="177"/>
      <c r="D43" s="177"/>
      <c r="E43" s="177"/>
      <c r="F43" s="178" t="s">
        <v>143</v>
      </c>
      <c r="G43" s="178"/>
      <c r="H43" s="178"/>
      <c r="I43" s="178"/>
      <c r="J43" s="179" t="s">
        <v>176</v>
      </c>
      <c r="K43" s="179"/>
      <c r="L43" s="179"/>
      <c r="M43" s="179"/>
    </row>
    <row r="44" spans="1:14" ht="15" customHeight="1" thickTop="1" x14ac:dyDescent="0.3">
      <c r="B44" s="182" t="str">
        <f>CLEAN(IFERROR(VLOOKUP('Matrix - Part 2'!I5,'Matrix - Part 2'!G6:H6,2,FALSE),"")&amp;CHAR(10)&amp;""&amp;CHAR(10)&amp;IFERROR(VLOOKUP('Matrix - Part 2'!I10,'Matrix - Part 2'!G12:H12,2,FALSE),"")&amp;CHAR(10)&amp;""&amp;CHAR(10)&amp;IFERROR(VLOOKUP('Matrix - Part 2'!#REF!,'Matrix - Part 2'!#REF!,2,FALSE),"")&amp;CHAR(10)&amp;""&amp;IFERROR(VLOOKUP('Matrix - Part 2'!I23,'Matrix - Part 2'!G24:H24,2,FALSE),""))</f>
        <v/>
      </c>
      <c r="C44" s="183"/>
      <c r="D44" s="183"/>
      <c r="E44" s="184"/>
      <c r="F44" s="182" t="str">
        <f>CLEAN(IFERROR(VLOOKUP('Matrix - Part 2'!I10,'Matrix - Part 2'!G11:H11,2,FALSE),"")&amp;CHAR(10)&amp;""&amp;CHAR(10)&amp;IFERROR(VLOOKUP('Matrix - Part 2'!#REF!,'Matrix - Part 2'!#REF!,2,FALSE),"")&amp;CHAR(10)&amp;""&amp;CHAR(10)&amp;IFERROR(VLOOKUP('Matrix - Part 2'!I16,'Matrix - Part 2'!G17:H17,2,FALSE),"")&amp;CHAR(10)&amp;""&amp;CHAR(10)&amp;IFERROR(VLOOKUP('Matrix - Part 2'!I23,'Matrix - Part 2'!G23:H23,2,FALSE),"")&amp;IFERROR(VLOOKUP('Answer Sheet'!E16,'Matrix - Part 2'!F17:H20,3,FALSE),"")&amp;CHAR(10)&amp;IFERROR(VLOOKUP('Answer Sheet'!F16,'Matrix - Part 2'!F17:H20,3,FALSE),"")&amp;CHAR(10)&amp;IFERROR(VLOOKUP('Answer Sheet'!G16,'Matrix - Part 2'!F17:H20,3,FALSE),"")&amp;CHAR(10)&amp;IFERROR(VLOOKUP('Answer Sheet'!H16,'Matrix - Part 2'!F17:H20,3,FALSE),""))</f>
        <v/>
      </c>
      <c r="G44" s="183"/>
      <c r="H44" s="183"/>
      <c r="I44" s="184"/>
      <c r="J44" s="182" t="str">
        <f>IFERROR(VLOOKUP('Matrix - Part 2'!I5,'Matrix - Part 2'!G5:H5,2,FALSE),"")</f>
        <v/>
      </c>
      <c r="K44" s="183"/>
      <c r="L44" s="183"/>
      <c r="M44" s="184"/>
    </row>
    <row r="45" spans="1:14" x14ac:dyDescent="0.3">
      <c r="B45" s="185"/>
      <c r="C45" s="186"/>
      <c r="D45" s="186"/>
      <c r="E45" s="187"/>
      <c r="F45" s="185"/>
      <c r="G45" s="186"/>
      <c r="H45" s="186"/>
      <c r="I45" s="187"/>
      <c r="J45" s="185"/>
      <c r="K45" s="186"/>
      <c r="L45" s="186"/>
      <c r="M45" s="187"/>
    </row>
    <row r="46" spans="1:14" x14ac:dyDescent="0.3">
      <c r="B46" s="185"/>
      <c r="C46" s="186"/>
      <c r="D46" s="186"/>
      <c r="E46" s="187"/>
      <c r="F46" s="185"/>
      <c r="G46" s="186"/>
      <c r="H46" s="186"/>
      <c r="I46" s="187"/>
      <c r="J46" s="185"/>
      <c r="K46" s="186"/>
      <c r="L46" s="186"/>
      <c r="M46" s="187"/>
    </row>
    <row r="47" spans="1:14" x14ac:dyDescent="0.3">
      <c r="B47" s="185"/>
      <c r="C47" s="186"/>
      <c r="D47" s="186"/>
      <c r="E47" s="187"/>
      <c r="F47" s="185"/>
      <c r="G47" s="186"/>
      <c r="H47" s="186"/>
      <c r="I47" s="187"/>
      <c r="J47" s="185"/>
      <c r="K47" s="186"/>
      <c r="L47" s="186"/>
      <c r="M47" s="187"/>
    </row>
    <row r="48" spans="1:14" x14ac:dyDescent="0.3">
      <c r="B48" s="185"/>
      <c r="C48" s="186"/>
      <c r="D48" s="186"/>
      <c r="E48" s="187"/>
      <c r="F48" s="185"/>
      <c r="G48" s="186"/>
      <c r="H48" s="186"/>
      <c r="I48" s="187"/>
      <c r="J48" s="185"/>
      <c r="K48" s="186"/>
      <c r="L48" s="186"/>
      <c r="M48" s="187"/>
    </row>
    <row r="49" spans="2:13" x14ac:dyDescent="0.3">
      <c r="B49" s="185"/>
      <c r="C49" s="186"/>
      <c r="D49" s="186"/>
      <c r="E49" s="187"/>
      <c r="F49" s="185"/>
      <c r="G49" s="186"/>
      <c r="H49" s="186"/>
      <c r="I49" s="187"/>
      <c r="J49" s="185"/>
      <c r="K49" s="186"/>
      <c r="L49" s="186"/>
      <c r="M49" s="187"/>
    </row>
    <row r="50" spans="2:13" x14ac:dyDescent="0.3">
      <c r="B50" s="185"/>
      <c r="C50" s="186"/>
      <c r="D50" s="186"/>
      <c r="E50" s="187"/>
      <c r="F50" s="185"/>
      <c r="G50" s="186"/>
      <c r="H50" s="186"/>
      <c r="I50" s="187"/>
      <c r="J50" s="185"/>
      <c r="K50" s="186"/>
      <c r="L50" s="186"/>
      <c r="M50" s="187"/>
    </row>
    <row r="51" spans="2:13" x14ac:dyDescent="0.3">
      <c r="B51" s="185"/>
      <c r="C51" s="186"/>
      <c r="D51" s="186"/>
      <c r="E51" s="187"/>
      <c r="F51" s="185"/>
      <c r="G51" s="186"/>
      <c r="H51" s="186"/>
      <c r="I51" s="187"/>
      <c r="J51" s="185"/>
      <c r="K51" s="186"/>
      <c r="L51" s="186"/>
      <c r="M51" s="187"/>
    </row>
    <row r="52" spans="2:13" x14ac:dyDescent="0.3">
      <c r="B52" s="185"/>
      <c r="C52" s="186"/>
      <c r="D52" s="186"/>
      <c r="E52" s="187"/>
      <c r="F52" s="185"/>
      <c r="G52" s="186"/>
      <c r="H52" s="186"/>
      <c r="I52" s="187"/>
      <c r="J52" s="185"/>
      <c r="K52" s="186"/>
      <c r="L52" s="186"/>
      <c r="M52" s="187"/>
    </row>
    <row r="53" spans="2:13" x14ac:dyDescent="0.3">
      <c r="B53" s="185"/>
      <c r="C53" s="186"/>
      <c r="D53" s="186"/>
      <c r="E53" s="187"/>
      <c r="F53" s="185"/>
      <c r="G53" s="186"/>
      <c r="H53" s="186"/>
      <c r="I53" s="187"/>
      <c r="J53" s="185"/>
      <c r="K53" s="186"/>
      <c r="L53" s="186"/>
      <c r="M53" s="187"/>
    </row>
    <row r="54" spans="2:13" x14ac:dyDescent="0.3">
      <c r="B54" s="185"/>
      <c r="C54" s="186"/>
      <c r="D54" s="186"/>
      <c r="E54" s="187"/>
      <c r="F54" s="185"/>
      <c r="G54" s="186"/>
      <c r="H54" s="186"/>
      <c r="I54" s="187"/>
      <c r="J54" s="185"/>
      <c r="K54" s="186"/>
      <c r="L54" s="186"/>
      <c r="M54" s="187"/>
    </row>
    <row r="55" spans="2:13" x14ac:dyDescent="0.3">
      <c r="B55" s="185"/>
      <c r="C55" s="186"/>
      <c r="D55" s="186"/>
      <c r="E55" s="187"/>
      <c r="F55" s="185"/>
      <c r="G55" s="186"/>
      <c r="H55" s="186"/>
      <c r="I55" s="187"/>
      <c r="J55" s="185"/>
      <c r="K55" s="186"/>
      <c r="L55" s="186"/>
      <c r="M55" s="187"/>
    </row>
    <row r="56" spans="2:13" x14ac:dyDescent="0.3">
      <c r="B56" s="185"/>
      <c r="C56" s="186"/>
      <c r="D56" s="186"/>
      <c r="E56" s="187"/>
      <c r="F56" s="185"/>
      <c r="G56" s="186"/>
      <c r="H56" s="186"/>
      <c r="I56" s="187"/>
      <c r="J56" s="185"/>
      <c r="K56" s="186"/>
      <c r="L56" s="186"/>
      <c r="M56" s="187"/>
    </row>
    <row r="57" spans="2:13" x14ac:dyDescent="0.3">
      <c r="B57" s="185"/>
      <c r="C57" s="186"/>
      <c r="D57" s="186"/>
      <c r="E57" s="187"/>
      <c r="F57" s="185"/>
      <c r="G57" s="186"/>
      <c r="H57" s="186"/>
      <c r="I57" s="187"/>
      <c r="J57" s="185"/>
      <c r="K57" s="186"/>
      <c r="L57" s="186"/>
      <c r="M57" s="187"/>
    </row>
    <row r="58" spans="2:13" x14ac:dyDescent="0.3">
      <c r="B58" s="185"/>
      <c r="C58" s="186"/>
      <c r="D58" s="186"/>
      <c r="E58" s="187"/>
      <c r="F58" s="185"/>
      <c r="G58" s="186"/>
      <c r="H58" s="186"/>
      <c r="I58" s="187"/>
      <c r="J58" s="185"/>
      <c r="K58" s="186"/>
      <c r="L58" s="186"/>
      <c r="M58" s="187"/>
    </row>
    <row r="59" spans="2:13" x14ac:dyDescent="0.3">
      <c r="B59" s="185"/>
      <c r="C59" s="186"/>
      <c r="D59" s="186"/>
      <c r="E59" s="187"/>
      <c r="F59" s="185"/>
      <c r="G59" s="186"/>
      <c r="H59" s="186"/>
      <c r="I59" s="187"/>
      <c r="J59" s="185"/>
      <c r="K59" s="186"/>
      <c r="L59" s="186"/>
      <c r="M59" s="187"/>
    </row>
    <row r="60" spans="2:13" x14ac:dyDescent="0.3">
      <c r="B60" s="185"/>
      <c r="C60" s="186"/>
      <c r="D60" s="186"/>
      <c r="E60" s="187"/>
      <c r="F60" s="185"/>
      <c r="G60" s="186"/>
      <c r="H60" s="186"/>
      <c r="I60" s="187"/>
      <c r="J60" s="185"/>
      <c r="K60" s="186"/>
      <c r="L60" s="186"/>
      <c r="M60" s="187"/>
    </row>
    <row r="61" spans="2:13" x14ac:dyDescent="0.3">
      <c r="B61" s="185"/>
      <c r="C61" s="186"/>
      <c r="D61" s="186"/>
      <c r="E61" s="187"/>
      <c r="F61" s="185"/>
      <c r="G61" s="186"/>
      <c r="H61" s="186"/>
      <c r="I61" s="187"/>
      <c r="J61" s="185"/>
      <c r="K61" s="186"/>
      <c r="L61" s="186"/>
      <c r="M61" s="187"/>
    </row>
    <row r="62" spans="2:13" x14ac:dyDescent="0.3">
      <c r="B62" s="185"/>
      <c r="C62" s="186"/>
      <c r="D62" s="186"/>
      <c r="E62" s="187"/>
      <c r="F62" s="185"/>
      <c r="G62" s="186"/>
      <c r="H62" s="186"/>
      <c r="I62" s="187"/>
      <c r="J62" s="185"/>
      <c r="K62" s="186"/>
      <c r="L62" s="186"/>
      <c r="M62" s="187"/>
    </row>
    <row r="63" spans="2:13" x14ac:dyDescent="0.3">
      <c r="B63" s="188" t="s">
        <v>440</v>
      </c>
      <c r="C63" s="189"/>
      <c r="D63" s="189"/>
      <c r="E63" s="189"/>
      <c r="F63" s="189"/>
      <c r="G63" s="189"/>
      <c r="H63" s="189"/>
      <c r="I63" s="189"/>
      <c r="J63" s="189"/>
      <c r="K63" s="189"/>
      <c r="L63" s="189"/>
      <c r="M63" s="190"/>
    </row>
    <row r="64" spans="2:13" x14ac:dyDescent="0.3">
      <c r="B64" s="188"/>
      <c r="C64" s="189"/>
      <c r="D64" s="189"/>
      <c r="E64" s="189"/>
      <c r="F64" s="189"/>
      <c r="G64" s="189"/>
      <c r="H64" s="189"/>
      <c r="I64" s="189"/>
      <c r="J64" s="189"/>
      <c r="K64" s="189"/>
      <c r="L64" s="189"/>
      <c r="M64" s="190"/>
    </row>
    <row r="65" spans="2:13" x14ac:dyDescent="0.3">
      <c r="B65" s="188"/>
      <c r="C65" s="189"/>
      <c r="D65" s="189"/>
      <c r="E65" s="189"/>
      <c r="F65" s="189"/>
      <c r="G65" s="189"/>
      <c r="H65" s="189"/>
      <c r="I65" s="189"/>
      <c r="J65" s="189"/>
      <c r="K65" s="189"/>
      <c r="L65" s="189"/>
      <c r="M65" s="190"/>
    </row>
    <row r="66" spans="2:13" x14ac:dyDescent="0.3">
      <c r="B66" s="188"/>
      <c r="C66" s="189"/>
      <c r="D66" s="189"/>
      <c r="E66" s="189"/>
      <c r="F66" s="189"/>
      <c r="G66" s="189"/>
      <c r="H66" s="189"/>
      <c r="I66" s="189"/>
      <c r="J66" s="189"/>
      <c r="K66" s="189"/>
      <c r="L66" s="189"/>
      <c r="M66" s="190"/>
    </row>
    <row r="67" spans="2:13" ht="23.7" customHeight="1" x14ac:dyDescent="0.3">
      <c r="B67" s="94"/>
      <c r="C67" s="94"/>
      <c r="D67" s="94"/>
      <c r="E67" s="94"/>
      <c r="F67" s="94"/>
      <c r="G67" s="94"/>
      <c r="H67" s="194" t="s">
        <v>348</v>
      </c>
      <c r="I67" s="194"/>
      <c r="J67" s="194"/>
      <c r="K67" s="194"/>
      <c r="L67" s="194"/>
      <c r="M67" s="194"/>
    </row>
    <row r="68" spans="2:13" x14ac:dyDescent="0.3">
      <c r="B68" s="81"/>
      <c r="C68" s="81"/>
      <c r="D68" s="81"/>
      <c r="E68" s="81"/>
      <c r="F68" s="81"/>
      <c r="G68" s="81"/>
      <c r="H68" s="194"/>
      <c r="I68" s="194"/>
      <c r="J68" s="194"/>
      <c r="K68" s="194"/>
      <c r="L68" s="194"/>
      <c r="M68" s="194"/>
    </row>
    <row r="69" spans="2:13" x14ac:dyDescent="0.3">
      <c r="H69" s="194"/>
      <c r="I69" s="194"/>
      <c r="J69" s="194"/>
      <c r="K69" s="194"/>
      <c r="L69" s="194"/>
      <c r="M69" s="194"/>
    </row>
    <row r="71" spans="2:13" x14ac:dyDescent="0.3">
      <c r="B71" s="195" t="s">
        <v>170</v>
      </c>
      <c r="C71" s="195"/>
      <c r="D71" s="195"/>
      <c r="E71" s="162" t="s">
        <v>171</v>
      </c>
      <c r="F71" s="162"/>
      <c r="G71" s="162"/>
      <c r="H71" s="162"/>
      <c r="I71" s="162"/>
      <c r="J71" s="162"/>
      <c r="K71" s="162"/>
      <c r="L71" s="162"/>
      <c r="M71" s="162"/>
    </row>
    <row r="72" spans="2:13" ht="14.55" customHeight="1" x14ac:dyDescent="0.3">
      <c r="B72" s="180">
        <f>'Matrix - Part 3'!I26</f>
        <v>0</v>
      </c>
      <c r="C72" s="180"/>
      <c r="D72" s="180"/>
      <c r="E72" s="181" t="e">
        <f>VLOOKUP(B72,'Matrix - Part 3'!A31:B60,2,FALSE)</f>
        <v>#N/A</v>
      </c>
      <c r="F72" s="181"/>
      <c r="G72" s="181"/>
      <c r="H72" s="181"/>
      <c r="I72" s="181"/>
      <c r="J72" s="181"/>
      <c r="K72" s="181"/>
      <c r="L72" s="181"/>
      <c r="M72" s="181"/>
    </row>
    <row r="73" spans="2:13" ht="14.55" customHeight="1" x14ac:dyDescent="0.3">
      <c r="B73" s="180"/>
      <c r="C73" s="180"/>
      <c r="D73" s="180"/>
      <c r="E73" s="181"/>
      <c r="F73" s="181"/>
      <c r="G73" s="181"/>
      <c r="H73" s="181"/>
      <c r="I73" s="181"/>
      <c r="J73" s="181"/>
      <c r="K73" s="181"/>
      <c r="L73" s="181"/>
      <c r="M73" s="181"/>
    </row>
    <row r="74" spans="2:13" ht="14.55" customHeight="1" x14ac:dyDescent="0.3">
      <c r="B74" s="180"/>
      <c r="C74" s="180"/>
      <c r="D74" s="180"/>
      <c r="E74" s="181"/>
      <c r="F74" s="181"/>
      <c r="G74" s="181"/>
      <c r="H74" s="181"/>
      <c r="I74" s="181"/>
      <c r="J74" s="181"/>
      <c r="K74" s="181"/>
      <c r="L74" s="181"/>
      <c r="M74" s="181"/>
    </row>
    <row r="76" spans="2:13" ht="15" thickBot="1" x14ac:dyDescent="0.35">
      <c r="B76" s="177" t="s">
        <v>144</v>
      </c>
      <c r="C76" s="177"/>
      <c r="D76" s="177"/>
      <c r="E76" s="177"/>
      <c r="F76" s="178" t="s">
        <v>143</v>
      </c>
      <c r="G76" s="178"/>
      <c r="H76" s="178"/>
      <c r="I76" s="178"/>
      <c r="J76" s="179" t="s">
        <v>176</v>
      </c>
      <c r="K76" s="179"/>
      <c r="L76" s="179"/>
      <c r="M76" s="179"/>
    </row>
    <row r="77" spans="2:13" ht="15" customHeight="1" thickTop="1" x14ac:dyDescent="0.3">
      <c r="B77" s="182" t="str">
        <f>CLEAN(IFERROR(VLOOKUP('Matrix - Part 3'!I8,'Matrix - Part 3'!G9:H9,2,FALSE),"")&amp;CHAR(10)&amp;""&amp;CHAR(10)&amp;IFERROR(VLOOKUP('Matrix - Part 3'!I11,'Matrix - Part 3'!G14:H14,2,FALSE),"")&amp;CHAR(10)&amp;""&amp;CHAR(10)&amp;IFERROR(VLOOKUP('Matrix - Part 3'!I20,'Matrix - Part 3'!G23:H23,2,FALSE),""))</f>
        <v/>
      </c>
      <c r="C77" s="183"/>
      <c r="D77" s="183"/>
      <c r="E77" s="184"/>
      <c r="F77" s="182" t="str">
        <f>CLEAN(IFERROR(VLOOKUP('Matrix - Part 3'!I16,'Matrix - Part 3'!G18:H18,2,FALSE),""))</f>
        <v/>
      </c>
      <c r="G77" s="183"/>
      <c r="H77" s="183"/>
      <c r="I77" s="184"/>
      <c r="J77" s="182" t="str">
        <f>CLEAN(IFERROR(VLOOKUP('Matrix - Part 3'!I4,'Matrix - Part 3'!G5:H5,2,FALSE),"")&amp;CHAR(10)&amp;""&amp;IFERROR(IF('Matrix - Part 3'!I4=2,"",VLOOKUP('Matrix - Part 3'!I5,'Matrix - Part 3'!G6:H6,2,FALSE)),"")&amp;CHAR(10)&amp;""&amp;IFERROR(VLOOKUP('Matrix - Part 3'!I11,'Matrix - Part 3'!G13:H13,2,FALSE),"")&amp;CHAR(10)&amp;""&amp;IFERROR(VLOOKUP('Matrix - Part 3'!I20,'Matrix - Part 3'!G22:H22,2,FALSE),"")&amp;CHAR(10)&amp;IFERROR(VLOOKUP('Matrix - Part 3'!I16,'Matrix - Part 3'!G17:H17,2,FALSE),""))</f>
        <v/>
      </c>
      <c r="K77" s="183"/>
      <c r="L77" s="183"/>
      <c r="M77" s="184"/>
    </row>
    <row r="78" spans="2:13" x14ac:dyDescent="0.3">
      <c r="B78" s="185"/>
      <c r="C78" s="186"/>
      <c r="D78" s="186"/>
      <c r="E78" s="187"/>
      <c r="F78" s="185"/>
      <c r="G78" s="186"/>
      <c r="H78" s="186"/>
      <c r="I78" s="187"/>
      <c r="J78" s="185"/>
      <c r="K78" s="186"/>
      <c r="L78" s="186"/>
      <c r="M78" s="187"/>
    </row>
    <row r="79" spans="2:13" x14ac:dyDescent="0.3">
      <c r="B79" s="185"/>
      <c r="C79" s="186"/>
      <c r="D79" s="186"/>
      <c r="E79" s="187"/>
      <c r="F79" s="185"/>
      <c r="G79" s="186"/>
      <c r="H79" s="186"/>
      <c r="I79" s="187"/>
      <c r="J79" s="185"/>
      <c r="K79" s="186"/>
      <c r="L79" s="186"/>
      <c r="M79" s="187"/>
    </row>
    <row r="80" spans="2:13" x14ac:dyDescent="0.3">
      <c r="B80" s="185"/>
      <c r="C80" s="186"/>
      <c r="D80" s="186"/>
      <c r="E80" s="187"/>
      <c r="F80" s="185"/>
      <c r="G80" s="186"/>
      <c r="H80" s="186"/>
      <c r="I80" s="187"/>
      <c r="J80" s="185"/>
      <c r="K80" s="186"/>
      <c r="L80" s="186"/>
      <c r="M80" s="187"/>
    </row>
    <row r="81" spans="2:13" x14ac:dyDescent="0.3">
      <c r="B81" s="185"/>
      <c r="C81" s="186"/>
      <c r="D81" s="186"/>
      <c r="E81" s="187"/>
      <c r="F81" s="185"/>
      <c r="G81" s="186"/>
      <c r="H81" s="186"/>
      <c r="I81" s="187"/>
      <c r="J81" s="185"/>
      <c r="K81" s="186"/>
      <c r="L81" s="186"/>
      <c r="M81" s="187"/>
    </row>
    <row r="82" spans="2:13" x14ac:dyDescent="0.3">
      <c r="B82" s="185"/>
      <c r="C82" s="186"/>
      <c r="D82" s="186"/>
      <c r="E82" s="187"/>
      <c r="F82" s="185"/>
      <c r="G82" s="186"/>
      <c r="H82" s="186"/>
      <c r="I82" s="187"/>
      <c r="J82" s="185"/>
      <c r="K82" s="186"/>
      <c r="L82" s="186"/>
      <c r="M82" s="187"/>
    </row>
    <row r="83" spans="2:13" x14ac:dyDescent="0.3">
      <c r="B83" s="185"/>
      <c r="C83" s="186"/>
      <c r="D83" s="186"/>
      <c r="E83" s="187"/>
      <c r="F83" s="185"/>
      <c r="G83" s="186"/>
      <c r="H83" s="186"/>
      <c r="I83" s="187"/>
      <c r="J83" s="185"/>
      <c r="K83" s="186"/>
      <c r="L83" s="186"/>
      <c r="M83" s="187"/>
    </row>
    <row r="84" spans="2:13" x14ac:dyDescent="0.3">
      <c r="B84" s="185"/>
      <c r="C84" s="186"/>
      <c r="D84" s="186"/>
      <c r="E84" s="187"/>
      <c r="F84" s="185"/>
      <c r="G84" s="186"/>
      <c r="H84" s="186"/>
      <c r="I84" s="187"/>
      <c r="J84" s="185"/>
      <c r="K84" s="186"/>
      <c r="L84" s="186"/>
      <c r="M84" s="187"/>
    </row>
    <row r="85" spans="2:13" x14ac:dyDescent="0.3">
      <c r="B85" s="185"/>
      <c r="C85" s="186"/>
      <c r="D85" s="186"/>
      <c r="E85" s="187"/>
      <c r="F85" s="185"/>
      <c r="G85" s="186"/>
      <c r="H85" s="186"/>
      <c r="I85" s="187"/>
      <c r="J85" s="185"/>
      <c r="K85" s="186"/>
      <c r="L85" s="186"/>
      <c r="M85" s="187"/>
    </row>
    <row r="86" spans="2:13" x14ac:dyDescent="0.3">
      <c r="B86" s="185"/>
      <c r="C86" s="186"/>
      <c r="D86" s="186"/>
      <c r="E86" s="187"/>
      <c r="F86" s="185"/>
      <c r="G86" s="186"/>
      <c r="H86" s="186"/>
      <c r="I86" s="187"/>
      <c r="J86" s="185"/>
      <c r="K86" s="186"/>
      <c r="L86" s="186"/>
      <c r="M86" s="187"/>
    </row>
    <row r="87" spans="2:13" x14ac:dyDescent="0.3">
      <c r="B87" s="185"/>
      <c r="C87" s="186"/>
      <c r="D87" s="186"/>
      <c r="E87" s="187"/>
      <c r="F87" s="185"/>
      <c r="G87" s="186"/>
      <c r="H87" s="186"/>
      <c r="I87" s="187"/>
      <c r="J87" s="185"/>
      <c r="K87" s="186"/>
      <c r="L87" s="186"/>
      <c r="M87" s="187"/>
    </row>
    <row r="88" spans="2:13" x14ac:dyDescent="0.3">
      <c r="B88" s="185"/>
      <c r="C88" s="186"/>
      <c r="D88" s="186"/>
      <c r="E88" s="187"/>
      <c r="F88" s="185"/>
      <c r="G88" s="186"/>
      <c r="H88" s="186"/>
      <c r="I88" s="187"/>
      <c r="J88" s="185"/>
      <c r="K88" s="186"/>
      <c r="L88" s="186"/>
      <c r="M88" s="187"/>
    </row>
    <row r="89" spans="2:13" x14ac:dyDescent="0.3">
      <c r="B89" s="185"/>
      <c r="C89" s="186"/>
      <c r="D89" s="186"/>
      <c r="E89" s="187"/>
      <c r="F89" s="185"/>
      <c r="G89" s="186"/>
      <c r="H89" s="186"/>
      <c r="I89" s="187"/>
      <c r="J89" s="185"/>
      <c r="K89" s="186"/>
      <c r="L89" s="186"/>
      <c r="M89" s="187"/>
    </row>
    <row r="90" spans="2:13" x14ac:dyDescent="0.3">
      <c r="B90" s="185"/>
      <c r="C90" s="186"/>
      <c r="D90" s="186"/>
      <c r="E90" s="187"/>
      <c r="F90" s="185"/>
      <c r="G90" s="186"/>
      <c r="H90" s="186"/>
      <c r="I90" s="187"/>
      <c r="J90" s="185"/>
      <c r="K90" s="186"/>
      <c r="L90" s="186"/>
      <c r="M90" s="187"/>
    </row>
    <row r="91" spans="2:13" x14ac:dyDescent="0.3">
      <c r="B91" s="185"/>
      <c r="C91" s="186"/>
      <c r="D91" s="186"/>
      <c r="E91" s="187"/>
      <c r="F91" s="185"/>
      <c r="G91" s="186"/>
      <c r="H91" s="186"/>
      <c r="I91" s="187"/>
      <c r="J91" s="185"/>
      <c r="K91" s="186"/>
      <c r="L91" s="186"/>
      <c r="M91" s="187"/>
    </row>
    <row r="92" spans="2:13" x14ac:dyDescent="0.3">
      <c r="B92" s="185"/>
      <c r="C92" s="186"/>
      <c r="D92" s="186"/>
      <c r="E92" s="187"/>
      <c r="F92" s="185"/>
      <c r="G92" s="186"/>
      <c r="H92" s="186"/>
      <c r="I92" s="187"/>
      <c r="J92" s="185"/>
      <c r="K92" s="186"/>
      <c r="L92" s="186"/>
      <c r="M92" s="187"/>
    </row>
    <row r="93" spans="2:13" x14ac:dyDescent="0.3">
      <c r="B93" s="185"/>
      <c r="C93" s="186"/>
      <c r="D93" s="186"/>
      <c r="E93" s="187"/>
      <c r="F93" s="185"/>
      <c r="G93" s="186"/>
      <c r="H93" s="186"/>
      <c r="I93" s="187"/>
      <c r="J93" s="185"/>
      <c r="K93" s="186"/>
      <c r="L93" s="186"/>
      <c r="M93" s="187"/>
    </row>
    <row r="94" spans="2:13" x14ac:dyDescent="0.3">
      <c r="B94" s="185"/>
      <c r="C94" s="186"/>
      <c r="D94" s="186"/>
      <c r="E94" s="187"/>
      <c r="F94" s="185"/>
      <c r="G94" s="186"/>
      <c r="H94" s="186"/>
      <c r="I94" s="187"/>
      <c r="J94" s="185"/>
      <c r="K94" s="186"/>
      <c r="L94" s="186"/>
      <c r="M94" s="187"/>
    </row>
    <row r="95" spans="2:13" x14ac:dyDescent="0.3">
      <c r="B95" s="185"/>
      <c r="C95" s="186"/>
      <c r="D95" s="186"/>
      <c r="E95" s="187"/>
      <c r="F95" s="185"/>
      <c r="G95" s="186"/>
      <c r="H95" s="186"/>
      <c r="I95" s="187"/>
      <c r="J95" s="185"/>
      <c r="K95" s="186"/>
      <c r="L95" s="186"/>
      <c r="M95" s="187"/>
    </row>
    <row r="96" spans="2:13" x14ac:dyDescent="0.3">
      <c r="B96" s="188" t="s">
        <v>441</v>
      </c>
      <c r="C96" s="189"/>
      <c r="D96" s="189"/>
      <c r="E96" s="189"/>
      <c r="F96" s="189"/>
      <c r="G96" s="189"/>
      <c r="H96" s="189"/>
      <c r="I96" s="189"/>
      <c r="J96" s="189"/>
      <c r="K96" s="189"/>
      <c r="L96" s="189"/>
      <c r="M96" s="190"/>
    </row>
    <row r="97" spans="2:13" x14ac:dyDescent="0.3">
      <c r="B97" s="188"/>
      <c r="C97" s="189"/>
      <c r="D97" s="189"/>
      <c r="E97" s="189"/>
      <c r="F97" s="189"/>
      <c r="G97" s="189"/>
      <c r="H97" s="189"/>
      <c r="I97" s="189"/>
      <c r="J97" s="189"/>
      <c r="K97" s="189"/>
      <c r="L97" s="189"/>
      <c r="M97" s="190"/>
    </row>
    <row r="98" spans="2:13" x14ac:dyDescent="0.3">
      <c r="B98" s="188"/>
      <c r="C98" s="189"/>
      <c r="D98" s="189"/>
      <c r="E98" s="189"/>
      <c r="F98" s="189"/>
      <c r="G98" s="189"/>
      <c r="H98" s="189"/>
      <c r="I98" s="189"/>
      <c r="J98" s="189"/>
      <c r="K98" s="189"/>
      <c r="L98" s="189"/>
      <c r="M98" s="190"/>
    </row>
    <row r="99" spans="2:13" x14ac:dyDescent="0.3">
      <c r="B99" s="188"/>
      <c r="C99" s="189"/>
      <c r="D99" s="189"/>
      <c r="E99" s="189"/>
      <c r="F99" s="189"/>
      <c r="G99" s="189"/>
      <c r="H99" s="189"/>
      <c r="I99" s="189"/>
      <c r="J99" s="189"/>
      <c r="K99" s="189"/>
      <c r="L99" s="189"/>
      <c r="M99" s="190"/>
    </row>
    <row r="100" spans="2:13" ht="23.7" customHeight="1" x14ac:dyDescent="0.3">
      <c r="H100" s="194" t="s">
        <v>349</v>
      </c>
      <c r="I100" s="194"/>
      <c r="J100" s="194"/>
      <c r="K100" s="194"/>
      <c r="L100" s="194"/>
      <c r="M100" s="194"/>
    </row>
    <row r="101" spans="2:13" x14ac:dyDescent="0.3">
      <c r="H101" s="194"/>
      <c r="I101" s="194"/>
      <c r="J101" s="194"/>
      <c r="K101" s="194"/>
      <c r="L101" s="194"/>
      <c r="M101" s="194"/>
    </row>
    <row r="102" spans="2:13" x14ac:dyDescent="0.3">
      <c r="H102" s="194"/>
      <c r="I102" s="194"/>
      <c r="J102" s="194"/>
      <c r="K102" s="194"/>
      <c r="L102" s="194"/>
      <c r="M102" s="194"/>
    </row>
    <row r="104" spans="2:13" x14ac:dyDescent="0.3">
      <c r="B104" s="195" t="s">
        <v>170</v>
      </c>
      <c r="C104" s="195"/>
      <c r="D104" s="195"/>
      <c r="E104" s="162" t="s">
        <v>171</v>
      </c>
      <c r="F104" s="162"/>
      <c r="G104" s="162"/>
      <c r="H104" s="162"/>
      <c r="I104" s="162"/>
      <c r="J104" s="162"/>
      <c r="K104" s="162"/>
      <c r="L104" s="162"/>
      <c r="M104" s="162"/>
    </row>
    <row r="105" spans="2:13" x14ac:dyDescent="0.3">
      <c r="B105" s="180" t="str">
        <f>'Matrix - Part 4'!I57</f>
        <v>0</v>
      </c>
      <c r="C105" s="180"/>
      <c r="D105" s="180"/>
      <c r="E105" s="181" t="e">
        <f>VLOOKUP(B105,'Matrix - Part 4'!A55:B84,2,FALSE)</f>
        <v>#N/A</v>
      </c>
      <c r="F105" s="181"/>
      <c r="G105" s="181"/>
      <c r="H105" s="181"/>
      <c r="I105" s="181"/>
      <c r="J105" s="181"/>
      <c r="K105" s="181"/>
      <c r="L105" s="181"/>
      <c r="M105" s="181"/>
    </row>
    <row r="106" spans="2:13" x14ac:dyDescent="0.3">
      <c r="B106" s="180"/>
      <c r="C106" s="180"/>
      <c r="D106" s="180"/>
      <c r="E106" s="181"/>
      <c r="F106" s="181"/>
      <c r="G106" s="181"/>
      <c r="H106" s="181"/>
      <c r="I106" s="181"/>
      <c r="J106" s="181"/>
      <c r="K106" s="181"/>
      <c r="L106" s="181"/>
      <c r="M106" s="181"/>
    </row>
    <row r="107" spans="2:13" x14ac:dyDescent="0.3">
      <c r="B107" s="180"/>
      <c r="C107" s="180"/>
      <c r="D107" s="180"/>
      <c r="E107" s="181"/>
      <c r="F107" s="181"/>
      <c r="G107" s="181"/>
      <c r="H107" s="181"/>
      <c r="I107" s="181"/>
      <c r="J107" s="181"/>
      <c r="K107" s="181"/>
      <c r="L107" s="181"/>
      <c r="M107" s="181"/>
    </row>
    <row r="109" spans="2:13" ht="15" thickBot="1" x14ac:dyDescent="0.35">
      <c r="B109" s="177" t="s">
        <v>144</v>
      </c>
      <c r="C109" s="177"/>
      <c r="D109" s="177"/>
      <c r="E109" s="177"/>
      <c r="F109" s="178" t="s">
        <v>143</v>
      </c>
      <c r="G109" s="178"/>
      <c r="H109" s="178"/>
      <c r="I109" s="178"/>
      <c r="J109" s="179" t="s">
        <v>176</v>
      </c>
      <c r="K109" s="179"/>
      <c r="L109" s="179"/>
      <c r="M109" s="179"/>
    </row>
    <row r="110" spans="2:13" ht="15" customHeight="1" thickTop="1" x14ac:dyDescent="0.3">
      <c r="B110" s="182" t="str">
        <f>CLEAN(IFERROR(VLOOKUP('Matrix - Part 4'!I9,'Matrix - Part 4'!G11:H11,2,FALSE),"")&amp;CHAR(10)&amp;""&amp;CHAR(10)&amp;IFERROR(VLOOKUP('Matrix - Part 4'!I18,'Matrix - Part 4'!G19:H19,2,FALSE),"")&amp;CHAR(10)&amp;""&amp;CHAR(10)&amp;IFERROR(VLOOKUP('Matrix - Part 4'!I13,'Matrix - Part 4'!G13:H13,2,FALSE),"")&amp;CHAR(10)&amp;""&amp;CHAR(10)&amp;IFERROR(VLOOKUP('Matrix - Part 4'!I14,'Matrix - Part 4'!G13:H13,2,FALSE),"")&amp;CHAR(10)&amp;""&amp;CHAR(10)&amp;IFERROR(VLOOKUP('Matrix - Part 4'!I15,'Matrix - Part 4'!G13:H13,2,FALSE),"")&amp;CHAR(10)&amp;""&amp;CHAR(10)&amp;IFERROR(VLOOKUP('Matrix - Part 4'!I27,'Matrix - Part 4'!G30:H30,2,FALSE),"")&amp;CHAR(10)&amp;""&amp;CHAR(10)&amp;IFERROR(VLOOKUP('Matrix - Part 4'!I32,'Matrix - Part 4'!G34:H34,2,FALSE),"")&amp;CHAR(10)&amp;""&amp;CHAR(10)&amp;IFERROR(VLOOKUP('Matrix - Part 4'!I33,'Matrix - Part 4'!G34:H34,2,FALSE),"")&amp;CHAR(10)&amp;""&amp;CHAR(10)&amp;IFERROR(VLOOKUP('Matrix - Part 4'!I36,'Matrix - Part 4'!G38:H38,2,FALSE),"")&amp;CHAR(10)&amp;""&amp;CHAR(10)&amp;IFERROR(VLOOKUP('Matrix - Part 4'!I40,'Matrix - Part 4'!G42:H42,2,FALSE),""))</f>
        <v/>
      </c>
      <c r="C110" s="183"/>
      <c r="D110" s="183"/>
      <c r="E110" s="184"/>
      <c r="F110" s="182" t="str">
        <f>CLEAN(IFERROR(VLOOKUP('Matrix - Part 4'!I6,'Matrix - Part 4'!G5:H7,2,FALSE),"")&amp;CHAR(10)&amp;""&amp;CHAR(10)&amp;IFERROR(VLOOKUP('Matrix - Part 4'!I7,'Matrix - Part 4'!G5:H7,2,FALSE),"")&amp;CHAR(10)&amp;""&amp;CHAR(10)&amp;IFERROR(VLOOKUP('Matrix - Part 4'!I13,'Matrix - Part 4'!G15:H15,2,FALSE),"")&amp;CHAR(10)&amp;""&amp;CHAR(10)&amp;IFERROR(VLOOKUP('Matrix - Part 4'!I14,'Matrix - Part 4'!G15:H15,2,FALSE),"")&amp;CHAR(10)&amp;""&amp;CHAR(10)&amp;IFERROR(VLOOKUP('Matrix - Part 4'!I15,'Matrix - Part 4'!G15:H15,2,FALSE),"")&amp;CHAR(10)&amp;""&amp;CHAR(10)&amp;IFERROR(VLOOKUP('Matrix - Part 4'!I22,'Matrix - Part 4'!G25:H25,2,FALSE),"")&amp;CHAR(10)&amp;""&amp;CHAR(10)&amp;IFERROR(VLOOKUP('Matrix - Part 4'!I27,'Matrix - Part 4'!G29:H29,2,FALSE),"")&amp;CHAR(10)&amp;""&amp;CHAR(10)&amp;IFERROR(VLOOKUP('Matrix - Part 4'!I36,'Matrix - Part 4'!G37:H37,2,FALSE),"")&amp;CHAR(10)&amp;IFERROR(VLOOKUP('Matrix - Part 4'!I44,'Matrix - Part 4'!G46:H46,2,FALSE),""))</f>
        <v/>
      </c>
      <c r="G110" s="183"/>
      <c r="H110" s="183"/>
      <c r="I110" s="184"/>
      <c r="J110" s="182" t="str">
        <f>CLEAN(IFERROR(VLOOKUP('Matrix - Part 4'!I5,'Matrix - Part 4'!G5:H7,2,FALSE),"")&amp;CHAR(10)&amp;""&amp;CHAR(10)&amp;IFERROR(VLOOKUP('Matrix - Part 4'!I9,'Matrix - Part 4'!G10:H10,2,FALSE),"")&amp;CHAR(10)&amp;""&amp;CHAR(10)&amp;IFERROR(VLOOKUP('Matrix - Part 4'!I18,'Matrix - Part 4'!G18:H18,2,FALSE),"")&amp;CHAR(10)&amp;""&amp;CHAR(10)&amp;IFERROR(VLOOKUP('Matrix - Part 4'!I13,'Matrix - Part 4'!G14:H14,2,FALSE),"")&amp;CHAR(10)&amp;""&amp;CHAR(10)&amp;IFERROR(VLOOKUP('Matrix - Part 4'!I14,'Matrix - Part 4'!G14:H14,2,FALSE),"")&amp;CHAR(10)&amp;""&amp;CHAR(10)&amp;IFERROR(VLOOKUP('Matrix - Part 4'!I15,'Matrix - Part 4'!G14:H14,2,FALSE),"")&amp;CHAR(10)&amp;""&amp;CHAR(10)&amp;IFERROR(VLOOKUP('Matrix - Part 4'!I22,'Matrix - Part 4'!G24:H24,2,FALSE),"")&amp;CHAR(10)&amp;""&amp;CHAR(10)&amp;IFERROR(VLOOKUP('Matrix - Part 4'!I27,'Matrix - Part 4'!G28:H28,2,FALSE),"")&amp;CHAR(10)&amp;""&amp;CHAR(10)&amp;IFERROR(VLOOKUP('Matrix - Part 4'!I32,'Matrix - Part 4'!G33:H33,2,FALSE),"")&amp;CHAR(10)&amp;""&amp;CHAR(10)&amp;IFERROR(VLOOKUP('Matrix - Part 4'!I33,'Matrix - Part 4'!G33:H33,2,FALSE),"")&amp;CHAR(10)&amp;""&amp;CHAR(10)&amp;IFERROR(VLOOKUP('Matrix - Part 4'!I34,'Matrix - Part 4'!G33:H33,2,FALSE),"")&amp;CHAR(10)&amp;""&amp;CHAR(10)&amp;IFERROR(VLOOKUP('Matrix - Part 4'!I40,'Matrix - Part 4'!G41:H41,2,FALSE),"")&amp;CHAR(10)&amp;""&amp;CHAR(10)&amp;IFERROR(VLOOKUP('Matrix - Part 4'!I44,'Matrix - Part 4'!G45:H45,2,FALSE),""))</f>
        <v/>
      </c>
      <c r="K110" s="183"/>
      <c r="L110" s="183"/>
      <c r="M110" s="184"/>
    </row>
    <row r="111" spans="2:13" x14ac:dyDescent="0.3">
      <c r="B111" s="185"/>
      <c r="C111" s="186"/>
      <c r="D111" s="186"/>
      <c r="E111" s="187"/>
      <c r="F111" s="185"/>
      <c r="G111" s="186"/>
      <c r="H111" s="186"/>
      <c r="I111" s="187"/>
      <c r="J111" s="185"/>
      <c r="K111" s="186"/>
      <c r="L111" s="186"/>
      <c r="M111" s="187"/>
    </row>
    <row r="112" spans="2:13" x14ac:dyDescent="0.3">
      <c r="B112" s="185"/>
      <c r="C112" s="186"/>
      <c r="D112" s="186"/>
      <c r="E112" s="187"/>
      <c r="F112" s="185"/>
      <c r="G112" s="186"/>
      <c r="H112" s="186"/>
      <c r="I112" s="187"/>
      <c r="J112" s="185"/>
      <c r="K112" s="186"/>
      <c r="L112" s="186"/>
      <c r="M112" s="187"/>
    </row>
    <row r="113" spans="2:13" x14ac:dyDescent="0.3">
      <c r="B113" s="185"/>
      <c r="C113" s="186"/>
      <c r="D113" s="186"/>
      <c r="E113" s="187"/>
      <c r="F113" s="185"/>
      <c r="G113" s="186"/>
      <c r="H113" s="186"/>
      <c r="I113" s="187"/>
      <c r="J113" s="185"/>
      <c r="K113" s="186"/>
      <c r="L113" s="186"/>
      <c r="M113" s="187"/>
    </row>
    <row r="114" spans="2:13" x14ac:dyDescent="0.3">
      <c r="B114" s="185"/>
      <c r="C114" s="186"/>
      <c r="D114" s="186"/>
      <c r="E114" s="187"/>
      <c r="F114" s="185"/>
      <c r="G114" s="186"/>
      <c r="H114" s="186"/>
      <c r="I114" s="187"/>
      <c r="J114" s="185"/>
      <c r="K114" s="186"/>
      <c r="L114" s="186"/>
      <c r="M114" s="187"/>
    </row>
    <row r="115" spans="2:13" x14ac:dyDescent="0.3">
      <c r="B115" s="185"/>
      <c r="C115" s="186"/>
      <c r="D115" s="186"/>
      <c r="E115" s="187"/>
      <c r="F115" s="185"/>
      <c r="G115" s="186"/>
      <c r="H115" s="186"/>
      <c r="I115" s="187"/>
      <c r="J115" s="185"/>
      <c r="K115" s="186"/>
      <c r="L115" s="186"/>
      <c r="M115" s="187"/>
    </row>
    <row r="116" spans="2:13" x14ac:dyDescent="0.3">
      <c r="B116" s="185"/>
      <c r="C116" s="186"/>
      <c r="D116" s="186"/>
      <c r="E116" s="187"/>
      <c r="F116" s="185"/>
      <c r="G116" s="186"/>
      <c r="H116" s="186"/>
      <c r="I116" s="187"/>
      <c r="J116" s="185"/>
      <c r="K116" s="186"/>
      <c r="L116" s="186"/>
      <c r="M116" s="187"/>
    </row>
    <row r="117" spans="2:13" x14ac:dyDescent="0.3">
      <c r="B117" s="185"/>
      <c r="C117" s="186"/>
      <c r="D117" s="186"/>
      <c r="E117" s="187"/>
      <c r="F117" s="185"/>
      <c r="G117" s="186"/>
      <c r="H117" s="186"/>
      <c r="I117" s="187"/>
      <c r="J117" s="185"/>
      <c r="K117" s="186"/>
      <c r="L117" s="186"/>
      <c r="M117" s="187"/>
    </row>
    <row r="118" spans="2:13" x14ac:dyDescent="0.3">
      <c r="B118" s="185"/>
      <c r="C118" s="186"/>
      <c r="D118" s="186"/>
      <c r="E118" s="187"/>
      <c r="F118" s="185"/>
      <c r="G118" s="186"/>
      <c r="H118" s="186"/>
      <c r="I118" s="187"/>
      <c r="J118" s="185"/>
      <c r="K118" s="186"/>
      <c r="L118" s="186"/>
      <c r="M118" s="187"/>
    </row>
    <row r="119" spans="2:13" x14ac:dyDescent="0.3">
      <c r="B119" s="185"/>
      <c r="C119" s="186"/>
      <c r="D119" s="186"/>
      <c r="E119" s="187"/>
      <c r="F119" s="185"/>
      <c r="G119" s="186"/>
      <c r="H119" s="186"/>
      <c r="I119" s="187"/>
      <c r="J119" s="185"/>
      <c r="K119" s="186"/>
      <c r="L119" s="186"/>
      <c r="M119" s="187"/>
    </row>
    <row r="120" spans="2:13" x14ac:dyDescent="0.3">
      <c r="B120" s="185"/>
      <c r="C120" s="186"/>
      <c r="D120" s="186"/>
      <c r="E120" s="187"/>
      <c r="F120" s="185"/>
      <c r="G120" s="186"/>
      <c r="H120" s="186"/>
      <c r="I120" s="187"/>
      <c r="J120" s="185"/>
      <c r="K120" s="186"/>
      <c r="L120" s="186"/>
      <c r="M120" s="187"/>
    </row>
    <row r="121" spans="2:13" x14ac:dyDescent="0.3">
      <c r="B121" s="185"/>
      <c r="C121" s="186"/>
      <c r="D121" s="186"/>
      <c r="E121" s="187"/>
      <c r="F121" s="185"/>
      <c r="G121" s="186"/>
      <c r="H121" s="186"/>
      <c r="I121" s="187"/>
      <c r="J121" s="185"/>
      <c r="K121" s="186"/>
      <c r="L121" s="186"/>
      <c r="M121" s="187"/>
    </row>
    <row r="122" spans="2:13" x14ac:dyDescent="0.3">
      <c r="B122" s="185"/>
      <c r="C122" s="186"/>
      <c r="D122" s="186"/>
      <c r="E122" s="187"/>
      <c r="F122" s="185"/>
      <c r="G122" s="186"/>
      <c r="H122" s="186"/>
      <c r="I122" s="187"/>
      <c r="J122" s="185"/>
      <c r="K122" s="186"/>
      <c r="L122" s="186"/>
      <c r="M122" s="187"/>
    </row>
    <row r="123" spans="2:13" x14ac:dyDescent="0.3">
      <c r="B123" s="185"/>
      <c r="C123" s="186"/>
      <c r="D123" s="186"/>
      <c r="E123" s="187"/>
      <c r="F123" s="185"/>
      <c r="G123" s="186"/>
      <c r="H123" s="186"/>
      <c r="I123" s="187"/>
      <c r="J123" s="185"/>
      <c r="K123" s="186"/>
      <c r="L123" s="186"/>
      <c r="M123" s="187"/>
    </row>
    <row r="124" spans="2:13" x14ac:dyDescent="0.3">
      <c r="B124" s="185"/>
      <c r="C124" s="186"/>
      <c r="D124" s="186"/>
      <c r="E124" s="187"/>
      <c r="F124" s="185"/>
      <c r="G124" s="186"/>
      <c r="H124" s="186"/>
      <c r="I124" s="187"/>
      <c r="J124" s="185"/>
      <c r="K124" s="186"/>
      <c r="L124" s="186"/>
      <c r="M124" s="187"/>
    </row>
    <row r="125" spans="2:13" x14ac:dyDescent="0.3">
      <c r="B125" s="185"/>
      <c r="C125" s="186"/>
      <c r="D125" s="186"/>
      <c r="E125" s="187"/>
      <c r="F125" s="185"/>
      <c r="G125" s="186"/>
      <c r="H125" s="186"/>
      <c r="I125" s="187"/>
      <c r="J125" s="185"/>
      <c r="K125" s="186"/>
      <c r="L125" s="186"/>
      <c r="M125" s="187"/>
    </row>
    <row r="126" spans="2:13" x14ac:dyDescent="0.3">
      <c r="B126" s="185"/>
      <c r="C126" s="186"/>
      <c r="D126" s="186"/>
      <c r="E126" s="187"/>
      <c r="F126" s="185"/>
      <c r="G126" s="186"/>
      <c r="H126" s="186"/>
      <c r="I126" s="187"/>
      <c r="J126" s="185"/>
      <c r="K126" s="186"/>
      <c r="L126" s="186"/>
      <c r="M126" s="187"/>
    </row>
    <row r="127" spans="2:13" x14ac:dyDescent="0.3">
      <c r="B127" s="185"/>
      <c r="C127" s="186"/>
      <c r="D127" s="186"/>
      <c r="E127" s="187"/>
      <c r="F127" s="185"/>
      <c r="G127" s="186"/>
      <c r="H127" s="186"/>
      <c r="I127" s="187"/>
      <c r="J127" s="185"/>
      <c r="K127" s="186"/>
      <c r="L127" s="186"/>
      <c r="M127" s="187"/>
    </row>
    <row r="128" spans="2:13" x14ac:dyDescent="0.3">
      <c r="B128" s="185"/>
      <c r="C128" s="186"/>
      <c r="D128" s="186"/>
      <c r="E128" s="187"/>
      <c r="F128" s="185"/>
      <c r="G128" s="186"/>
      <c r="H128" s="186"/>
      <c r="I128" s="187"/>
      <c r="J128" s="185"/>
      <c r="K128" s="186"/>
      <c r="L128" s="186"/>
      <c r="M128" s="187"/>
    </row>
    <row r="129" spans="2:13" x14ac:dyDescent="0.3">
      <c r="B129" s="188" t="s">
        <v>445</v>
      </c>
      <c r="C129" s="189"/>
      <c r="D129" s="189"/>
      <c r="E129" s="189"/>
      <c r="F129" s="189"/>
      <c r="G129" s="189"/>
      <c r="H129" s="189"/>
      <c r="I129" s="189"/>
      <c r="J129" s="189"/>
      <c r="K129" s="189"/>
      <c r="L129" s="189"/>
      <c r="M129" s="190"/>
    </row>
    <row r="130" spans="2:13" x14ac:dyDescent="0.3">
      <c r="B130" s="188"/>
      <c r="C130" s="189"/>
      <c r="D130" s="189"/>
      <c r="E130" s="189"/>
      <c r="F130" s="189"/>
      <c r="G130" s="189"/>
      <c r="H130" s="189"/>
      <c r="I130" s="189"/>
      <c r="J130" s="189"/>
      <c r="K130" s="189"/>
      <c r="L130" s="189"/>
      <c r="M130" s="190"/>
    </row>
    <row r="131" spans="2:13" x14ac:dyDescent="0.3">
      <c r="B131" s="188"/>
      <c r="C131" s="189"/>
      <c r="D131" s="189"/>
      <c r="E131" s="189"/>
      <c r="F131" s="189"/>
      <c r="G131" s="189"/>
      <c r="H131" s="189"/>
      <c r="I131" s="189"/>
      <c r="J131" s="189"/>
      <c r="K131" s="189"/>
      <c r="L131" s="189"/>
      <c r="M131" s="190"/>
    </row>
    <row r="132" spans="2:13" x14ac:dyDescent="0.3">
      <c r="B132" s="188"/>
      <c r="C132" s="189"/>
      <c r="D132" s="189"/>
      <c r="E132" s="189"/>
      <c r="F132" s="189"/>
      <c r="G132" s="189"/>
      <c r="H132" s="189"/>
      <c r="I132" s="189"/>
      <c r="J132" s="189"/>
      <c r="K132" s="189"/>
      <c r="L132" s="189"/>
      <c r="M132" s="190"/>
    </row>
    <row r="133" spans="2:13" ht="23.7" customHeight="1" x14ac:dyDescent="0.3">
      <c r="H133" s="194" t="s">
        <v>314</v>
      </c>
      <c r="I133" s="194"/>
      <c r="J133" s="194"/>
      <c r="K133" s="194"/>
      <c r="L133" s="194"/>
      <c r="M133" s="194"/>
    </row>
    <row r="134" spans="2:13" x14ac:dyDescent="0.3">
      <c r="H134" s="194"/>
      <c r="I134" s="194"/>
      <c r="J134" s="194"/>
      <c r="K134" s="194"/>
      <c r="L134" s="194"/>
      <c r="M134" s="194"/>
    </row>
    <row r="135" spans="2:13" x14ac:dyDescent="0.3">
      <c r="H135" s="194"/>
      <c r="I135" s="194"/>
      <c r="J135" s="194"/>
      <c r="K135" s="194"/>
      <c r="L135" s="194"/>
      <c r="M135" s="194"/>
    </row>
    <row r="137" spans="2:13" x14ac:dyDescent="0.3">
      <c r="B137" s="195" t="s">
        <v>170</v>
      </c>
      <c r="C137" s="195"/>
      <c r="D137" s="195"/>
      <c r="E137" s="162" t="s">
        <v>171</v>
      </c>
      <c r="F137" s="162"/>
      <c r="G137" s="162"/>
      <c r="H137" s="162"/>
      <c r="I137" s="162"/>
      <c r="J137" s="162"/>
      <c r="K137" s="162"/>
      <c r="L137" s="162"/>
      <c r="M137" s="162"/>
    </row>
    <row r="138" spans="2:13" ht="14.55" customHeight="1" x14ac:dyDescent="0.3">
      <c r="B138" s="180" t="str">
        <f>'Matrix - Part 5'!I48</f>
        <v>0</v>
      </c>
      <c r="C138" s="180"/>
      <c r="D138" s="180"/>
      <c r="E138" s="181" t="e">
        <f>VLOOKUP('Matrix - Part 5'!I48,'Matrix - Part 5'!A55:B84,2,FALSE)</f>
        <v>#N/A</v>
      </c>
      <c r="F138" s="181"/>
      <c r="G138" s="181"/>
      <c r="H138" s="181"/>
      <c r="I138" s="181"/>
      <c r="J138" s="181"/>
      <c r="K138" s="181"/>
      <c r="L138" s="181"/>
      <c r="M138" s="181"/>
    </row>
    <row r="139" spans="2:13" ht="14.55" customHeight="1" x14ac:dyDescent="0.3">
      <c r="B139" s="180"/>
      <c r="C139" s="180"/>
      <c r="D139" s="180"/>
      <c r="E139" s="181"/>
      <c r="F139" s="181"/>
      <c r="G139" s="181"/>
      <c r="H139" s="181"/>
      <c r="I139" s="181"/>
      <c r="J139" s="181"/>
      <c r="K139" s="181"/>
      <c r="L139" s="181"/>
      <c r="M139" s="181"/>
    </row>
    <row r="140" spans="2:13" ht="14.55" customHeight="1" x14ac:dyDescent="0.3">
      <c r="B140" s="180"/>
      <c r="C140" s="180"/>
      <c r="D140" s="180"/>
      <c r="E140" s="181"/>
      <c r="F140" s="181"/>
      <c r="G140" s="181"/>
      <c r="H140" s="181"/>
      <c r="I140" s="181"/>
      <c r="J140" s="181"/>
      <c r="K140" s="181"/>
      <c r="L140" s="181"/>
      <c r="M140" s="181"/>
    </row>
    <row r="142" spans="2:13" ht="15" thickBot="1" x14ac:dyDescent="0.35">
      <c r="B142" s="177" t="s">
        <v>144</v>
      </c>
      <c r="C142" s="177"/>
      <c r="D142" s="177"/>
      <c r="E142" s="177"/>
      <c r="F142" s="178" t="s">
        <v>143</v>
      </c>
      <c r="G142" s="178"/>
      <c r="H142" s="178"/>
      <c r="I142" s="178"/>
      <c r="J142" s="179" t="s">
        <v>176</v>
      </c>
      <c r="K142" s="179"/>
      <c r="L142" s="179"/>
      <c r="M142" s="179"/>
    </row>
    <row r="143" spans="2:13" ht="15" customHeight="1" thickTop="1" x14ac:dyDescent="0.3">
      <c r="B143" s="182" t="str">
        <f>CLEAN(IFERROR(VLOOKUP('Matrix - Part 5'!I19,'Matrix - Part 5'!G23:H23,2,FALSE),"")&amp;CHAR(10)&amp;IFERROR(VLOOKUP('Matrix - Part 5'!I33,'Matrix - Part 5'!G36:H36,2,FALSE),""))</f>
        <v/>
      </c>
      <c r="C143" s="183"/>
      <c r="D143" s="183"/>
      <c r="E143" s="184"/>
      <c r="F143" s="182" t="str">
        <f>CLEAN(IFERROR(VLOOKUP('Matrix - Part 5'!I5,'Matrix - Part 5'!G7:H7,2,FALSE),"")&amp;CHAR(10)&amp;IFERROR(VLOOKUP('Matrix - Part 5'!I9,'Matrix - Part 5'!G12:H12,2,FALSE),"")&amp;CHAR(10)&amp;IFERROR(VLOOKUP('Matrix - Part 5'!I14,'Matrix - Part 5'!G17:H17,2,FALSE),"")&amp;CHAR(10)&amp;IFERROR(VLOOKUP('Matrix - Part 5'!I19,'Matrix - Part 5'!G22:H22,2,FALSE),"")&amp;CHAR(10)&amp;IFERROR(VLOOKUP('Matrix - Part 5'!I25,'Matrix - Part 5'!G27:H27,2,FALSE),"")&amp;CHAR(10)&amp;IFERROR(VLOOKUP('Matrix - Part 5'!I29,'Matrix - Part 5'!G31:H31,2,FALSE),"")&amp;CHAR(10)&amp;IFERROR(VLOOKUP('Matrix - Part 5'!I33,'Matrix - Part 5'!G35:H35,2,FALSE),"")&amp;CHAR(10)&amp;IFERROR(VLOOKUP('Matrix - Part 5'!I38,'Matrix - Part 5'!G41:H41,2,FALSE),""))</f>
        <v/>
      </c>
      <c r="G143" s="183"/>
      <c r="H143" s="183"/>
      <c r="I143" s="184"/>
      <c r="J143" s="182" t="str">
        <f>CLEAN(IFERROR(VLOOKUP('Matrix - Part 5'!I5,'Matrix - Part 5'!G6:H6,2,FALSE),"")&amp;CHAR(10)&amp;IFERROR(VLOOKUP('Matrix - Part 5'!I9,'Matrix - Part 5'!G11:H11,2,FALSE),"")&amp;CHAR(10)&amp;IFERROR(VLOOKUP('Matrix - Part 5'!I14,'Matrix - Part 5'!G16:H16,2,FALSE),"")&amp;CHAR(10)&amp;IFERROR(VLOOKUP('Matrix - Part 5'!I19,'Matrix - Part 5'!G21:H21,2,FALSE),"")&amp;CHAR(10)&amp;IFERROR(VLOOKUP('Matrix - Part 5'!I25,'Matrix - Part 5'!G26:H26,2,FALSE),"")&amp;CHAR(10)&amp;IFERROR(VLOOKUP('Matrix - Part 5'!I29,'Matrix - Part 5'!G30:H30,2,FALSE),"")&amp;CHAR(10)&amp;IFERROR(VLOOKUP('Matrix - Part 5'!I33,'Matrix - Part 5'!G34:H34,2,FALSE),"")&amp;CHAR(10)&amp;IFERROR(VLOOKUP('Matrix - Part 5'!I38,'Matrix - Part 5'!G40:H40,2,FALSE),""))</f>
        <v/>
      </c>
      <c r="K143" s="183"/>
      <c r="L143" s="183"/>
      <c r="M143" s="184"/>
    </row>
    <row r="144" spans="2:13" x14ac:dyDescent="0.3">
      <c r="B144" s="185"/>
      <c r="C144" s="186"/>
      <c r="D144" s="186"/>
      <c r="E144" s="187"/>
      <c r="F144" s="185"/>
      <c r="G144" s="186"/>
      <c r="H144" s="186"/>
      <c r="I144" s="187"/>
      <c r="J144" s="185"/>
      <c r="K144" s="186"/>
      <c r="L144" s="186"/>
      <c r="M144" s="187"/>
    </row>
    <row r="145" spans="2:13" x14ac:dyDescent="0.3">
      <c r="B145" s="185"/>
      <c r="C145" s="186"/>
      <c r="D145" s="186"/>
      <c r="E145" s="187"/>
      <c r="F145" s="185"/>
      <c r="G145" s="186"/>
      <c r="H145" s="186"/>
      <c r="I145" s="187"/>
      <c r="J145" s="185"/>
      <c r="K145" s="186"/>
      <c r="L145" s="186"/>
      <c r="M145" s="187"/>
    </row>
    <row r="146" spans="2:13" x14ac:dyDescent="0.3">
      <c r="B146" s="185"/>
      <c r="C146" s="186"/>
      <c r="D146" s="186"/>
      <c r="E146" s="187"/>
      <c r="F146" s="185"/>
      <c r="G146" s="186"/>
      <c r="H146" s="186"/>
      <c r="I146" s="187"/>
      <c r="J146" s="185"/>
      <c r="K146" s="186"/>
      <c r="L146" s="186"/>
      <c r="M146" s="187"/>
    </row>
    <row r="147" spans="2:13" x14ac:dyDescent="0.3">
      <c r="B147" s="185"/>
      <c r="C147" s="186"/>
      <c r="D147" s="186"/>
      <c r="E147" s="187"/>
      <c r="F147" s="185"/>
      <c r="G147" s="186"/>
      <c r="H147" s="186"/>
      <c r="I147" s="187"/>
      <c r="J147" s="185"/>
      <c r="K147" s="186"/>
      <c r="L147" s="186"/>
      <c r="M147" s="187"/>
    </row>
    <row r="148" spans="2:13" x14ac:dyDescent="0.3">
      <c r="B148" s="185"/>
      <c r="C148" s="186"/>
      <c r="D148" s="186"/>
      <c r="E148" s="187"/>
      <c r="F148" s="185"/>
      <c r="G148" s="186"/>
      <c r="H148" s="186"/>
      <c r="I148" s="187"/>
      <c r="J148" s="185"/>
      <c r="K148" s="186"/>
      <c r="L148" s="186"/>
      <c r="M148" s="187"/>
    </row>
    <row r="149" spans="2:13" x14ac:dyDescent="0.3">
      <c r="B149" s="185"/>
      <c r="C149" s="186"/>
      <c r="D149" s="186"/>
      <c r="E149" s="187"/>
      <c r="F149" s="185"/>
      <c r="G149" s="186"/>
      <c r="H149" s="186"/>
      <c r="I149" s="187"/>
      <c r="J149" s="185"/>
      <c r="K149" s="186"/>
      <c r="L149" s="186"/>
      <c r="M149" s="187"/>
    </row>
    <row r="150" spans="2:13" x14ac:dyDescent="0.3">
      <c r="B150" s="185"/>
      <c r="C150" s="186"/>
      <c r="D150" s="186"/>
      <c r="E150" s="187"/>
      <c r="F150" s="185"/>
      <c r="G150" s="186"/>
      <c r="H150" s="186"/>
      <c r="I150" s="187"/>
      <c r="J150" s="185"/>
      <c r="K150" s="186"/>
      <c r="L150" s="186"/>
      <c r="M150" s="187"/>
    </row>
    <row r="151" spans="2:13" x14ac:dyDescent="0.3">
      <c r="B151" s="185"/>
      <c r="C151" s="186"/>
      <c r="D151" s="186"/>
      <c r="E151" s="187"/>
      <c r="F151" s="185"/>
      <c r="G151" s="186"/>
      <c r="H151" s="186"/>
      <c r="I151" s="187"/>
      <c r="J151" s="185"/>
      <c r="K151" s="186"/>
      <c r="L151" s="186"/>
      <c r="M151" s="187"/>
    </row>
    <row r="152" spans="2:13" x14ac:dyDescent="0.3">
      <c r="B152" s="185"/>
      <c r="C152" s="186"/>
      <c r="D152" s="186"/>
      <c r="E152" s="187"/>
      <c r="F152" s="185"/>
      <c r="G152" s="186"/>
      <c r="H152" s="186"/>
      <c r="I152" s="187"/>
      <c r="J152" s="185"/>
      <c r="K152" s="186"/>
      <c r="L152" s="186"/>
      <c r="M152" s="187"/>
    </row>
    <row r="153" spans="2:13" x14ac:dyDescent="0.3">
      <c r="B153" s="185"/>
      <c r="C153" s="186"/>
      <c r="D153" s="186"/>
      <c r="E153" s="187"/>
      <c r="F153" s="185"/>
      <c r="G153" s="186"/>
      <c r="H153" s="186"/>
      <c r="I153" s="187"/>
      <c r="J153" s="185"/>
      <c r="K153" s="186"/>
      <c r="L153" s="186"/>
      <c r="M153" s="187"/>
    </row>
    <row r="154" spans="2:13" x14ac:dyDescent="0.3">
      <c r="B154" s="185"/>
      <c r="C154" s="186"/>
      <c r="D154" s="186"/>
      <c r="E154" s="187"/>
      <c r="F154" s="185"/>
      <c r="G154" s="186"/>
      <c r="H154" s="186"/>
      <c r="I154" s="187"/>
      <c r="J154" s="185"/>
      <c r="K154" s="186"/>
      <c r="L154" s="186"/>
      <c r="M154" s="187"/>
    </row>
    <row r="155" spans="2:13" x14ac:dyDescent="0.3">
      <c r="B155" s="185"/>
      <c r="C155" s="186"/>
      <c r="D155" s="186"/>
      <c r="E155" s="187"/>
      <c r="F155" s="185"/>
      <c r="G155" s="186"/>
      <c r="H155" s="186"/>
      <c r="I155" s="187"/>
      <c r="J155" s="185"/>
      <c r="K155" s="186"/>
      <c r="L155" s="186"/>
      <c r="M155" s="187"/>
    </row>
    <row r="156" spans="2:13" x14ac:dyDescent="0.3">
      <c r="B156" s="185"/>
      <c r="C156" s="186"/>
      <c r="D156" s="186"/>
      <c r="E156" s="187"/>
      <c r="F156" s="185"/>
      <c r="G156" s="186"/>
      <c r="H156" s="186"/>
      <c r="I156" s="187"/>
      <c r="J156" s="185"/>
      <c r="K156" s="186"/>
      <c r="L156" s="186"/>
      <c r="M156" s="187"/>
    </row>
    <row r="157" spans="2:13" x14ac:dyDescent="0.3">
      <c r="B157" s="185"/>
      <c r="C157" s="186"/>
      <c r="D157" s="186"/>
      <c r="E157" s="187"/>
      <c r="F157" s="185"/>
      <c r="G157" s="186"/>
      <c r="H157" s="186"/>
      <c r="I157" s="187"/>
      <c r="J157" s="185"/>
      <c r="K157" s="186"/>
      <c r="L157" s="186"/>
      <c r="M157" s="187"/>
    </row>
    <row r="158" spans="2:13" x14ac:dyDescent="0.3">
      <c r="B158" s="185"/>
      <c r="C158" s="186"/>
      <c r="D158" s="186"/>
      <c r="E158" s="187"/>
      <c r="F158" s="185"/>
      <c r="G158" s="186"/>
      <c r="H158" s="186"/>
      <c r="I158" s="187"/>
      <c r="J158" s="185"/>
      <c r="K158" s="186"/>
      <c r="L158" s="186"/>
      <c r="M158" s="187"/>
    </row>
    <row r="159" spans="2:13" x14ac:dyDescent="0.3">
      <c r="B159" s="185"/>
      <c r="C159" s="186"/>
      <c r="D159" s="186"/>
      <c r="E159" s="187"/>
      <c r="F159" s="185"/>
      <c r="G159" s="186"/>
      <c r="H159" s="186"/>
      <c r="I159" s="187"/>
      <c r="J159" s="185"/>
      <c r="K159" s="186"/>
      <c r="L159" s="186"/>
      <c r="M159" s="187"/>
    </row>
    <row r="160" spans="2:13" x14ac:dyDescent="0.3">
      <c r="B160" s="185"/>
      <c r="C160" s="186"/>
      <c r="D160" s="186"/>
      <c r="E160" s="187"/>
      <c r="F160" s="185"/>
      <c r="G160" s="186"/>
      <c r="H160" s="186"/>
      <c r="I160" s="187"/>
      <c r="J160" s="185"/>
      <c r="K160" s="186"/>
      <c r="L160" s="186"/>
      <c r="M160" s="187"/>
    </row>
    <row r="161" spans="2:13" x14ac:dyDescent="0.3">
      <c r="B161" s="185"/>
      <c r="C161" s="186"/>
      <c r="D161" s="186"/>
      <c r="E161" s="187"/>
      <c r="F161" s="185"/>
      <c r="G161" s="186"/>
      <c r="H161" s="186"/>
      <c r="I161" s="187"/>
      <c r="J161" s="185"/>
      <c r="K161" s="186"/>
      <c r="L161" s="186"/>
      <c r="M161" s="187"/>
    </row>
    <row r="162" spans="2:13" x14ac:dyDescent="0.3">
      <c r="B162" s="188" t="s">
        <v>446</v>
      </c>
      <c r="C162" s="189"/>
      <c r="D162" s="189"/>
      <c r="E162" s="189"/>
      <c r="F162" s="189"/>
      <c r="G162" s="189"/>
      <c r="H162" s="189"/>
      <c r="I162" s="189"/>
      <c r="J162" s="189"/>
      <c r="K162" s="189"/>
      <c r="L162" s="189"/>
      <c r="M162" s="190"/>
    </row>
    <row r="163" spans="2:13" x14ac:dyDescent="0.3">
      <c r="B163" s="188"/>
      <c r="C163" s="189"/>
      <c r="D163" s="189"/>
      <c r="E163" s="189"/>
      <c r="F163" s="189"/>
      <c r="G163" s="189"/>
      <c r="H163" s="189"/>
      <c r="I163" s="189"/>
      <c r="J163" s="189"/>
      <c r="K163" s="189"/>
      <c r="L163" s="189"/>
      <c r="M163" s="190"/>
    </row>
    <row r="164" spans="2:13" x14ac:dyDescent="0.3">
      <c r="B164" s="188"/>
      <c r="C164" s="189"/>
      <c r="D164" s="189"/>
      <c r="E164" s="189"/>
      <c r="F164" s="189"/>
      <c r="G164" s="189"/>
      <c r="H164" s="189"/>
      <c r="I164" s="189"/>
      <c r="J164" s="189"/>
      <c r="K164" s="189"/>
      <c r="L164" s="189"/>
      <c r="M164" s="190"/>
    </row>
    <row r="165" spans="2:13" x14ac:dyDescent="0.3">
      <c r="B165" s="188"/>
      <c r="C165" s="189"/>
      <c r="D165" s="189"/>
      <c r="E165" s="189"/>
      <c r="F165" s="189"/>
      <c r="G165" s="189"/>
      <c r="H165" s="189"/>
      <c r="I165" s="189"/>
      <c r="J165" s="189"/>
      <c r="K165" s="189"/>
      <c r="L165" s="189"/>
      <c r="M165" s="190"/>
    </row>
    <row r="166" spans="2:13" ht="23.7" customHeight="1" x14ac:dyDescent="0.3">
      <c r="H166" s="194" t="s">
        <v>356</v>
      </c>
      <c r="I166" s="194"/>
      <c r="J166" s="194"/>
      <c r="K166" s="194"/>
      <c r="L166" s="194"/>
      <c r="M166" s="194"/>
    </row>
    <row r="167" spans="2:13" x14ac:dyDescent="0.3">
      <c r="H167" s="194"/>
      <c r="I167" s="194"/>
      <c r="J167" s="194"/>
      <c r="K167" s="194"/>
      <c r="L167" s="194"/>
      <c r="M167" s="194"/>
    </row>
    <row r="168" spans="2:13" x14ac:dyDescent="0.3">
      <c r="H168" s="194"/>
      <c r="I168" s="194"/>
      <c r="J168" s="194"/>
      <c r="K168" s="194"/>
      <c r="L168" s="194"/>
      <c r="M168" s="194"/>
    </row>
    <row r="170" spans="2:13" x14ac:dyDescent="0.3">
      <c r="B170" s="195" t="s">
        <v>170</v>
      </c>
      <c r="C170" s="195"/>
      <c r="D170" s="195"/>
      <c r="E170" s="162" t="s">
        <v>171</v>
      </c>
      <c r="F170" s="162"/>
      <c r="G170" s="162"/>
      <c r="H170" s="162"/>
      <c r="I170" s="162"/>
      <c r="J170" s="162"/>
      <c r="K170" s="162"/>
      <c r="L170" s="162"/>
      <c r="M170" s="162"/>
    </row>
    <row r="171" spans="2:13" ht="14.55" customHeight="1" x14ac:dyDescent="0.3">
      <c r="B171" s="180" t="str">
        <f>'Matrix - Part 6'!I27</f>
        <v>0</v>
      </c>
      <c r="C171" s="180"/>
      <c r="D171" s="180"/>
      <c r="E171" s="181" t="e">
        <f>VLOOKUP(B171,'Matrix - Part 6'!A34:B63,2,FALSE)</f>
        <v>#N/A</v>
      </c>
      <c r="F171" s="181"/>
      <c r="G171" s="181"/>
      <c r="H171" s="181"/>
      <c r="I171" s="181"/>
      <c r="J171" s="181"/>
      <c r="K171" s="181"/>
      <c r="L171" s="181"/>
      <c r="M171" s="181"/>
    </row>
    <row r="172" spans="2:13" ht="14.55" customHeight="1" x14ac:dyDescent="0.3">
      <c r="B172" s="180"/>
      <c r="C172" s="180"/>
      <c r="D172" s="180"/>
      <c r="E172" s="181"/>
      <c r="F172" s="181"/>
      <c r="G172" s="181"/>
      <c r="H172" s="181"/>
      <c r="I172" s="181"/>
      <c r="J172" s="181"/>
      <c r="K172" s="181"/>
      <c r="L172" s="181"/>
      <c r="M172" s="181"/>
    </row>
    <row r="173" spans="2:13" ht="14.55" customHeight="1" x14ac:dyDescent="0.3">
      <c r="B173" s="180"/>
      <c r="C173" s="180"/>
      <c r="D173" s="180"/>
      <c r="E173" s="181"/>
      <c r="F173" s="181"/>
      <c r="G173" s="181"/>
      <c r="H173" s="181"/>
      <c r="I173" s="181"/>
      <c r="J173" s="181"/>
      <c r="K173" s="181"/>
      <c r="L173" s="181"/>
      <c r="M173" s="181"/>
    </row>
    <row r="175" spans="2:13" ht="15" thickBot="1" x14ac:dyDescent="0.35">
      <c r="B175" s="177" t="s">
        <v>144</v>
      </c>
      <c r="C175" s="177"/>
      <c r="D175" s="177"/>
      <c r="E175" s="177"/>
      <c r="F175" s="178" t="s">
        <v>143</v>
      </c>
      <c r="G175" s="178"/>
      <c r="H175" s="178"/>
      <c r="I175" s="178"/>
      <c r="J175" s="179" t="s">
        <v>176</v>
      </c>
      <c r="K175" s="179"/>
      <c r="L175" s="179"/>
      <c r="M175" s="179"/>
    </row>
    <row r="176" spans="2:13" ht="15" customHeight="1" thickTop="1" x14ac:dyDescent="0.3">
      <c r="B176" s="182" t="str">
        <f>CLEAN(IFERROR(VLOOKUP('Matrix - Part 6'!I5,'Matrix - Part 6'!G6:H6,2,FALSE),""))&amp;CHAR(10)&amp;IFERROR(VLOOKUP('Matrix - Part 6'!I8,'Matrix - Part 6'!G10:H10,2,FALSE),"")</f>
        <v xml:space="preserve">
</v>
      </c>
      <c r="C176" s="183"/>
      <c r="D176" s="183"/>
      <c r="E176" s="184"/>
      <c r="F176" s="182" t="str">
        <f>CLEAN(IFERROR(VLOOKUP('Matrix - Part 6'!I5,'Matrix - Part 6'!G5:H5,2,FALSE),""))&amp;CHAR(10)&amp;IFERROR(VLOOKUP('Matrix - Part 6'!I12,'Matrix - Part 6'!G13:H13,2,FALSE),"")&amp;CHAR(10)&amp;IFERROR(VLOOKUP('Matrix - Part 6'!I15,'Matrix - Part 6'!G16:H16,2,FALSE),"")</f>
        <v xml:space="preserve">
</v>
      </c>
      <c r="G176" s="183"/>
      <c r="H176" s="183"/>
      <c r="I176" s="184"/>
      <c r="J176" s="182" t="str">
        <f>CLEAN(IFERROR(VLOOKUP('Matrix - Part 6'!I8,'Matrix - Part 6'!G9:H9,2,FALSE),""))</f>
        <v/>
      </c>
      <c r="K176" s="183"/>
      <c r="L176" s="183"/>
      <c r="M176" s="184"/>
    </row>
    <row r="177" spans="2:13" x14ac:dyDescent="0.3">
      <c r="B177" s="185"/>
      <c r="C177" s="186"/>
      <c r="D177" s="186"/>
      <c r="E177" s="187"/>
      <c r="F177" s="185"/>
      <c r="G177" s="186"/>
      <c r="H177" s="186"/>
      <c r="I177" s="187"/>
      <c r="J177" s="185"/>
      <c r="K177" s="186"/>
      <c r="L177" s="186"/>
      <c r="M177" s="187"/>
    </row>
    <row r="178" spans="2:13" x14ac:dyDescent="0.3">
      <c r="B178" s="185"/>
      <c r="C178" s="186"/>
      <c r="D178" s="186"/>
      <c r="E178" s="187"/>
      <c r="F178" s="185"/>
      <c r="G178" s="186"/>
      <c r="H178" s="186"/>
      <c r="I178" s="187"/>
      <c r="J178" s="185"/>
      <c r="K178" s="186"/>
      <c r="L178" s="186"/>
      <c r="M178" s="187"/>
    </row>
    <row r="179" spans="2:13" x14ac:dyDescent="0.3">
      <c r="B179" s="185"/>
      <c r="C179" s="186"/>
      <c r="D179" s="186"/>
      <c r="E179" s="187"/>
      <c r="F179" s="185"/>
      <c r="G179" s="186"/>
      <c r="H179" s="186"/>
      <c r="I179" s="187"/>
      <c r="J179" s="185"/>
      <c r="K179" s="186"/>
      <c r="L179" s="186"/>
      <c r="M179" s="187"/>
    </row>
    <row r="180" spans="2:13" x14ac:dyDescent="0.3">
      <c r="B180" s="185"/>
      <c r="C180" s="186"/>
      <c r="D180" s="186"/>
      <c r="E180" s="187"/>
      <c r="F180" s="185"/>
      <c r="G180" s="186"/>
      <c r="H180" s="186"/>
      <c r="I180" s="187"/>
      <c r="J180" s="185"/>
      <c r="K180" s="186"/>
      <c r="L180" s="186"/>
      <c r="M180" s="187"/>
    </row>
    <row r="181" spans="2:13" x14ac:dyDescent="0.3">
      <c r="B181" s="185"/>
      <c r="C181" s="186"/>
      <c r="D181" s="186"/>
      <c r="E181" s="187"/>
      <c r="F181" s="185"/>
      <c r="G181" s="186"/>
      <c r="H181" s="186"/>
      <c r="I181" s="187"/>
      <c r="J181" s="185"/>
      <c r="K181" s="186"/>
      <c r="L181" s="186"/>
      <c r="M181" s="187"/>
    </row>
    <row r="182" spans="2:13" x14ac:dyDescent="0.3">
      <c r="B182" s="185"/>
      <c r="C182" s="186"/>
      <c r="D182" s="186"/>
      <c r="E182" s="187"/>
      <c r="F182" s="185"/>
      <c r="G182" s="186"/>
      <c r="H182" s="186"/>
      <c r="I182" s="187"/>
      <c r="J182" s="185"/>
      <c r="K182" s="186"/>
      <c r="L182" s="186"/>
      <c r="M182" s="187"/>
    </row>
    <row r="183" spans="2:13" x14ac:dyDescent="0.3">
      <c r="B183" s="185"/>
      <c r="C183" s="186"/>
      <c r="D183" s="186"/>
      <c r="E183" s="187"/>
      <c r="F183" s="185"/>
      <c r="G183" s="186"/>
      <c r="H183" s="186"/>
      <c r="I183" s="187"/>
      <c r="J183" s="185"/>
      <c r="K183" s="186"/>
      <c r="L183" s="186"/>
      <c r="M183" s="187"/>
    </row>
    <row r="184" spans="2:13" x14ac:dyDescent="0.3">
      <c r="B184" s="185"/>
      <c r="C184" s="186"/>
      <c r="D184" s="186"/>
      <c r="E184" s="187"/>
      <c r="F184" s="185"/>
      <c r="G184" s="186"/>
      <c r="H184" s="186"/>
      <c r="I184" s="187"/>
      <c r="J184" s="185"/>
      <c r="K184" s="186"/>
      <c r="L184" s="186"/>
      <c r="M184" s="187"/>
    </row>
    <row r="185" spans="2:13" x14ac:dyDescent="0.3">
      <c r="B185" s="185"/>
      <c r="C185" s="186"/>
      <c r="D185" s="186"/>
      <c r="E185" s="187"/>
      <c r="F185" s="185"/>
      <c r="G185" s="186"/>
      <c r="H185" s="186"/>
      <c r="I185" s="187"/>
      <c r="J185" s="185"/>
      <c r="K185" s="186"/>
      <c r="L185" s="186"/>
      <c r="M185" s="187"/>
    </row>
    <row r="186" spans="2:13" x14ac:dyDescent="0.3">
      <c r="B186" s="185"/>
      <c r="C186" s="186"/>
      <c r="D186" s="186"/>
      <c r="E186" s="187"/>
      <c r="F186" s="185"/>
      <c r="G186" s="186"/>
      <c r="H186" s="186"/>
      <c r="I186" s="187"/>
      <c r="J186" s="185"/>
      <c r="K186" s="186"/>
      <c r="L186" s="186"/>
      <c r="M186" s="187"/>
    </row>
    <row r="187" spans="2:13" x14ac:dyDescent="0.3">
      <c r="B187" s="185"/>
      <c r="C187" s="186"/>
      <c r="D187" s="186"/>
      <c r="E187" s="187"/>
      <c r="F187" s="185"/>
      <c r="G187" s="186"/>
      <c r="H187" s="186"/>
      <c r="I187" s="187"/>
      <c r="J187" s="185"/>
      <c r="K187" s="186"/>
      <c r="L187" s="186"/>
      <c r="M187" s="187"/>
    </row>
    <row r="188" spans="2:13" x14ac:dyDescent="0.3">
      <c r="B188" s="185"/>
      <c r="C188" s="186"/>
      <c r="D188" s="186"/>
      <c r="E188" s="187"/>
      <c r="F188" s="185"/>
      <c r="G188" s="186"/>
      <c r="H188" s="186"/>
      <c r="I188" s="187"/>
      <c r="J188" s="185"/>
      <c r="K188" s="186"/>
      <c r="L188" s="186"/>
      <c r="M188" s="187"/>
    </row>
    <row r="189" spans="2:13" x14ac:dyDescent="0.3">
      <c r="B189" s="185"/>
      <c r="C189" s="186"/>
      <c r="D189" s="186"/>
      <c r="E189" s="187"/>
      <c r="F189" s="185"/>
      <c r="G189" s="186"/>
      <c r="H189" s="186"/>
      <c r="I189" s="187"/>
      <c r="J189" s="185"/>
      <c r="K189" s="186"/>
      <c r="L189" s="186"/>
      <c r="M189" s="187"/>
    </row>
    <row r="190" spans="2:13" x14ac:dyDescent="0.3">
      <c r="B190" s="185"/>
      <c r="C190" s="186"/>
      <c r="D190" s="186"/>
      <c r="E190" s="187"/>
      <c r="F190" s="185"/>
      <c r="G190" s="186"/>
      <c r="H190" s="186"/>
      <c r="I190" s="187"/>
      <c r="J190" s="185"/>
      <c r="K190" s="186"/>
      <c r="L190" s="186"/>
      <c r="M190" s="187"/>
    </row>
    <row r="191" spans="2:13" x14ac:dyDescent="0.3">
      <c r="B191" s="185"/>
      <c r="C191" s="186"/>
      <c r="D191" s="186"/>
      <c r="E191" s="187"/>
      <c r="F191" s="185"/>
      <c r="G191" s="186"/>
      <c r="H191" s="186"/>
      <c r="I191" s="187"/>
      <c r="J191" s="185"/>
      <c r="K191" s="186"/>
      <c r="L191" s="186"/>
      <c r="M191" s="187"/>
    </row>
    <row r="192" spans="2:13" x14ac:dyDescent="0.3">
      <c r="B192" s="185"/>
      <c r="C192" s="186"/>
      <c r="D192" s="186"/>
      <c r="E192" s="187"/>
      <c r="F192" s="185"/>
      <c r="G192" s="186"/>
      <c r="H192" s="186"/>
      <c r="I192" s="187"/>
      <c r="J192" s="185"/>
      <c r="K192" s="186"/>
      <c r="L192" s="186"/>
      <c r="M192" s="187"/>
    </row>
    <row r="193" spans="2:13" x14ac:dyDescent="0.3">
      <c r="B193" s="185"/>
      <c r="C193" s="186"/>
      <c r="D193" s="186"/>
      <c r="E193" s="187"/>
      <c r="F193" s="185"/>
      <c r="G193" s="186"/>
      <c r="H193" s="186"/>
      <c r="I193" s="187"/>
      <c r="J193" s="185"/>
      <c r="K193" s="186"/>
      <c r="L193" s="186"/>
      <c r="M193" s="187"/>
    </row>
    <row r="194" spans="2:13" x14ac:dyDescent="0.3">
      <c r="B194" s="185"/>
      <c r="C194" s="186"/>
      <c r="D194" s="186"/>
      <c r="E194" s="187"/>
      <c r="F194" s="185"/>
      <c r="G194" s="186"/>
      <c r="H194" s="186"/>
      <c r="I194" s="187"/>
      <c r="J194" s="185"/>
      <c r="K194" s="186"/>
      <c r="L194" s="186"/>
      <c r="M194" s="187"/>
    </row>
    <row r="195" spans="2:13" x14ac:dyDescent="0.3">
      <c r="B195" s="191"/>
      <c r="C195" s="192"/>
      <c r="D195" s="192"/>
      <c r="E195" s="192"/>
      <c r="F195" s="192"/>
      <c r="G195" s="192"/>
      <c r="H195" s="192"/>
      <c r="I195" s="192"/>
      <c r="J195" s="192"/>
      <c r="K195" s="192"/>
      <c r="L195" s="192"/>
      <c r="M195" s="193"/>
    </row>
    <row r="196" spans="2:13" x14ac:dyDescent="0.3">
      <c r="B196" s="191"/>
      <c r="C196" s="192"/>
      <c r="D196" s="192"/>
      <c r="E196" s="192"/>
      <c r="F196" s="192"/>
      <c r="G196" s="192"/>
      <c r="H196" s="192"/>
      <c r="I196" s="192"/>
      <c r="J196" s="192"/>
      <c r="K196" s="192"/>
      <c r="L196" s="192"/>
      <c r="M196" s="193"/>
    </row>
    <row r="197" spans="2:13" x14ac:dyDescent="0.3">
      <c r="B197" s="191"/>
      <c r="C197" s="192"/>
      <c r="D197" s="192"/>
      <c r="E197" s="192"/>
      <c r="F197" s="192"/>
      <c r="G197" s="192"/>
      <c r="H197" s="192"/>
      <c r="I197" s="192"/>
      <c r="J197" s="192"/>
      <c r="K197" s="192"/>
      <c r="L197" s="192"/>
      <c r="M197" s="193"/>
    </row>
    <row r="198" spans="2:13" x14ac:dyDescent="0.3">
      <c r="B198" s="191"/>
      <c r="C198" s="192"/>
      <c r="D198" s="192"/>
      <c r="E198" s="192"/>
      <c r="F198" s="192"/>
      <c r="G198" s="192"/>
      <c r="H198" s="192"/>
      <c r="I198" s="192"/>
      <c r="J198" s="192"/>
      <c r="K198" s="192"/>
      <c r="L198" s="192"/>
      <c r="M198" s="193"/>
    </row>
  </sheetData>
  <dataConsolidate>
    <dataRefs count="4">
      <dataRef ref="A1:M33" sheet="OMR Report - Part 2"/>
      <dataRef ref="A1:N34" sheet="OMR Report - Part 3"/>
      <dataRef ref="B1:N72" sheet="OMR Report - Part 4"/>
      <dataRef ref="A1:N72" sheet="OMR Report - Part 5"/>
    </dataRefs>
  </dataConsolidate>
  <mergeCells count="75">
    <mergeCell ref="B5:M8"/>
    <mergeCell ref="B143:E161"/>
    <mergeCell ref="F143:I161"/>
    <mergeCell ref="J143:M161"/>
    <mergeCell ref="B162:M165"/>
    <mergeCell ref="B137:D137"/>
    <mergeCell ref="E137:M137"/>
    <mergeCell ref="B138:D140"/>
    <mergeCell ref="E138:M140"/>
    <mergeCell ref="B142:E142"/>
    <mergeCell ref="F142:I142"/>
    <mergeCell ref="J142:M142"/>
    <mergeCell ref="B110:E128"/>
    <mergeCell ref="F110:I128"/>
    <mergeCell ref="J110:M128"/>
    <mergeCell ref="B129:M132"/>
    <mergeCell ref="H133:M135"/>
    <mergeCell ref="B105:D107"/>
    <mergeCell ref="E105:M107"/>
    <mergeCell ref="B109:E109"/>
    <mergeCell ref="F109:I109"/>
    <mergeCell ref="J109:M109"/>
    <mergeCell ref="F77:I95"/>
    <mergeCell ref="J77:M95"/>
    <mergeCell ref="B96:M99"/>
    <mergeCell ref="H100:M102"/>
    <mergeCell ref="B104:D104"/>
    <mergeCell ref="E104:M104"/>
    <mergeCell ref="B71:D71"/>
    <mergeCell ref="E71:M71"/>
    <mergeCell ref="H1:M3"/>
    <mergeCell ref="A30:N30"/>
    <mergeCell ref="B18:M19"/>
    <mergeCell ref="I12:J12"/>
    <mergeCell ref="I13:J13"/>
    <mergeCell ref="I14:J14"/>
    <mergeCell ref="D12:H12"/>
    <mergeCell ref="D13:H13"/>
    <mergeCell ref="D14:H14"/>
    <mergeCell ref="B10:M10"/>
    <mergeCell ref="B16:M16"/>
    <mergeCell ref="H34:M36"/>
    <mergeCell ref="B38:D38"/>
    <mergeCell ref="E38:M38"/>
    <mergeCell ref="H67:M69"/>
    <mergeCell ref="B39:D41"/>
    <mergeCell ref="E39:M41"/>
    <mergeCell ref="B43:E43"/>
    <mergeCell ref="F43:I43"/>
    <mergeCell ref="J43:M43"/>
    <mergeCell ref="B176:E194"/>
    <mergeCell ref="F176:I194"/>
    <mergeCell ref="J176:M194"/>
    <mergeCell ref="B195:M198"/>
    <mergeCell ref="H166:M168"/>
    <mergeCell ref="B170:D170"/>
    <mergeCell ref="E170:M170"/>
    <mergeCell ref="B171:D173"/>
    <mergeCell ref="E171:M173"/>
    <mergeCell ref="A32:N32"/>
    <mergeCell ref="A31:N31"/>
    <mergeCell ref="H21:M29"/>
    <mergeCell ref="B175:E175"/>
    <mergeCell ref="F175:I175"/>
    <mergeCell ref="J175:M175"/>
    <mergeCell ref="B72:D74"/>
    <mergeCell ref="E72:M74"/>
    <mergeCell ref="B44:E62"/>
    <mergeCell ref="F44:I62"/>
    <mergeCell ref="J44:M62"/>
    <mergeCell ref="B63:M66"/>
    <mergeCell ref="B76:E76"/>
    <mergeCell ref="F76:I76"/>
    <mergeCell ref="J76:M76"/>
    <mergeCell ref="B77:E95"/>
  </mergeCells>
  <conditionalFormatting sqref="B105">
    <cfRule type="cellIs" dxfId="46" priority="29" operator="greaterThanOrEqual">
      <formula>3.5</formula>
    </cfRule>
    <cfRule type="cellIs" dxfId="45" priority="30" operator="between">
      <formula>2.4</formula>
      <formula>3.4</formula>
    </cfRule>
    <cfRule type="cellIs" dxfId="44" priority="31" operator="between">
      <formula>1.5</formula>
      <formula>2.3</formula>
    </cfRule>
    <cfRule type="cellIs" dxfId="43" priority="32" operator="lessThanOrEqual">
      <formula>1.4</formula>
    </cfRule>
  </conditionalFormatting>
  <conditionalFormatting sqref="B72">
    <cfRule type="cellIs" dxfId="42" priority="13" operator="greaterThanOrEqual">
      <formula>3.5</formula>
    </cfRule>
    <cfRule type="cellIs" dxfId="41" priority="14" operator="between">
      <formula>2.4</formula>
      <formula>3.4</formula>
    </cfRule>
    <cfRule type="cellIs" dxfId="40" priority="15" operator="between">
      <formula>1.5</formula>
      <formula>2.3</formula>
    </cfRule>
    <cfRule type="cellIs" dxfId="39" priority="16" operator="lessThanOrEqual">
      <formula>1.4</formula>
    </cfRule>
  </conditionalFormatting>
  <conditionalFormatting sqref="B138">
    <cfRule type="cellIs" dxfId="38" priority="9" operator="greaterThanOrEqual">
      <formula>3.5</formula>
    </cfRule>
    <cfRule type="cellIs" dxfId="37" priority="10" operator="between">
      <formula>2.4</formula>
      <formula>3.4</formula>
    </cfRule>
    <cfRule type="cellIs" dxfId="36" priority="11" operator="between">
      <formula>1.5</formula>
      <formula>2.3</formula>
    </cfRule>
    <cfRule type="cellIs" dxfId="35" priority="12" operator="lessThanOrEqual">
      <formula>1.4</formula>
    </cfRule>
  </conditionalFormatting>
  <conditionalFormatting sqref="B171">
    <cfRule type="cellIs" dxfId="34" priority="5" operator="greaterThanOrEqual">
      <formula>3.5</formula>
    </cfRule>
    <cfRule type="cellIs" dxfId="33" priority="6" operator="between">
      <formula>2.4</formula>
      <formula>3.4</formula>
    </cfRule>
    <cfRule type="cellIs" dxfId="32" priority="7" operator="between">
      <formula>1.5</formula>
      <formula>2.3</formula>
    </cfRule>
    <cfRule type="cellIs" dxfId="31" priority="8" operator="lessThanOrEqual">
      <formula>1.4</formula>
    </cfRule>
  </conditionalFormatting>
  <conditionalFormatting sqref="B39">
    <cfRule type="cellIs" dxfId="30" priority="1" operator="greaterThanOrEqual">
      <formula>3.5</formula>
    </cfRule>
    <cfRule type="cellIs" dxfId="29" priority="2" operator="between">
      <formula>2.4</formula>
      <formula>3.4</formula>
    </cfRule>
    <cfRule type="cellIs" dxfId="28" priority="3" operator="between">
      <formula>1.5</formula>
      <formula>2.3</formula>
    </cfRule>
    <cfRule type="cellIs" dxfId="27" priority="4" operator="lessThanOrEqual">
      <formula>1.4</formula>
    </cfRule>
  </conditionalFormatting>
  <pageMargins left="0.7" right="0.7" top="0.75" bottom="0.75" header="0.3" footer="0.3"/>
  <pageSetup orientation="landscape" r:id="rId1"/>
  <headerFooter differentFirst="1">
    <oddFooter>&amp;L
&amp;R&amp;P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M72"/>
  <sheetViews>
    <sheetView view="pageLayout" zoomScale="80" zoomScaleNormal="100" zoomScalePageLayoutView="80" workbookViewId="0">
      <selection activeCell="N28" sqref="N28"/>
    </sheetView>
  </sheetViews>
  <sheetFormatPr defaultRowHeight="14.4" x14ac:dyDescent="0.3"/>
  <cols>
    <col min="13" max="13" width="8.77734375" style="7"/>
  </cols>
  <sheetData>
    <row r="1" spans="1:13" ht="14.55" customHeight="1" x14ac:dyDescent="0.3">
      <c r="H1" s="118"/>
      <c r="I1" s="118"/>
      <c r="J1" s="118"/>
      <c r="K1" s="118"/>
    </row>
    <row r="2" spans="1:13" ht="14.55" customHeight="1" x14ac:dyDescent="0.3">
      <c r="G2" s="214" t="s">
        <v>500</v>
      </c>
      <c r="H2" s="214"/>
      <c r="I2" s="214"/>
      <c r="J2" s="214"/>
      <c r="K2" s="118"/>
    </row>
    <row r="3" spans="1:13" ht="14.55" customHeight="1" x14ac:dyDescent="0.3">
      <c r="G3" s="214"/>
      <c r="H3" s="214"/>
      <c r="I3" s="214"/>
      <c r="J3" s="214"/>
      <c r="K3" s="118"/>
    </row>
    <row r="4" spans="1:13" s="7" customFormat="1" ht="14.55" customHeight="1" x14ac:dyDescent="0.3">
      <c r="G4" s="214"/>
      <c r="H4" s="214"/>
      <c r="I4" s="214"/>
      <c r="J4" s="214"/>
      <c r="K4" s="118"/>
    </row>
    <row r="5" spans="1:13" x14ac:dyDescent="0.3">
      <c r="B5" s="215" t="s">
        <v>503</v>
      </c>
      <c r="C5" s="215"/>
      <c r="D5" s="215"/>
      <c r="E5" s="215"/>
      <c r="F5" s="215"/>
      <c r="G5" s="215"/>
      <c r="H5" s="215"/>
      <c r="I5" s="215"/>
      <c r="J5" s="215"/>
      <c r="K5" s="215"/>
      <c r="L5" s="215"/>
      <c r="M5" s="215"/>
    </row>
    <row r="6" spans="1:13" s="7" customFormat="1" x14ac:dyDescent="0.3">
      <c r="B6" s="215"/>
      <c r="C6" s="215"/>
      <c r="D6" s="215"/>
      <c r="E6" s="215"/>
      <c r="F6" s="215"/>
      <c r="G6" s="215"/>
      <c r="H6" s="215"/>
      <c r="I6" s="215"/>
      <c r="J6" s="215"/>
      <c r="K6" s="215"/>
      <c r="L6" s="215"/>
      <c r="M6" s="215"/>
    </row>
    <row r="7" spans="1:13" ht="14.55" customHeight="1" x14ac:dyDescent="0.3">
      <c r="B7" s="210" t="str">
        <f>IFERROR("There are 4 risk groups included in this report, with each hazard classified into a risk group. A total of "&amp;'Supervisor Report Logic'!D24&amp;" known risks have been identified. Known risks include the hazards which are expected to cause musculoskeletal discomfort, pain and/or injury.","")</f>
        <v>There are 4 risk groups included in this report, with each hazard classified into a risk group. A total of 0 known risks have been identified. Known risks include the hazards which are expected to cause musculoskeletal discomfort, pain and/or injury.</v>
      </c>
      <c r="C7" s="210"/>
      <c r="D7" s="210"/>
      <c r="E7" s="210"/>
      <c r="F7" s="210"/>
      <c r="G7" s="210"/>
      <c r="H7" s="210"/>
      <c r="I7" s="210"/>
      <c r="J7" s="210"/>
      <c r="K7" s="210"/>
      <c r="L7" s="210"/>
      <c r="M7" s="210"/>
    </row>
    <row r="8" spans="1:13" s="7" customFormat="1" ht="31.05" customHeight="1" x14ac:dyDescent="0.3">
      <c r="B8" s="210"/>
      <c r="C8" s="210"/>
      <c r="D8" s="210"/>
      <c r="E8" s="210"/>
      <c r="F8" s="210"/>
      <c r="G8" s="210"/>
      <c r="H8" s="210"/>
      <c r="I8" s="210"/>
      <c r="J8" s="210"/>
      <c r="K8" s="210"/>
      <c r="L8" s="210"/>
      <c r="M8" s="210"/>
    </row>
    <row r="9" spans="1:13" ht="14.55" customHeight="1" x14ac:dyDescent="0.3">
      <c r="B9" s="5"/>
      <c r="C9" s="134"/>
      <c r="D9" s="212" t="s">
        <v>508</v>
      </c>
      <c r="E9" s="212"/>
      <c r="F9" s="212"/>
      <c r="G9" s="212"/>
      <c r="H9" s="212"/>
      <c r="I9" s="212" t="s">
        <v>509</v>
      </c>
      <c r="J9" s="212"/>
      <c r="K9" s="212"/>
      <c r="L9" s="212"/>
      <c r="M9" s="212"/>
    </row>
    <row r="10" spans="1:13" ht="14.55" customHeight="1" x14ac:dyDescent="0.3">
      <c r="A10" s="7"/>
      <c r="B10" s="209" t="s">
        <v>504</v>
      </c>
      <c r="C10" s="209"/>
      <c r="D10" s="216" t="str">
        <f>'Supervisor Report Logic'!C2</f>
        <v>When a worker has frequent localized contact with sharp edges/objects, tissues and nerves beneath the skin can be injured from the pressure.</v>
      </c>
      <c r="E10" s="216"/>
      <c r="F10" s="216"/>
      <c r="G10" s="216"/>
      <c r="H10" s="216"/>
      <c r="I10" s="216" t="str">
        <f>'ErgoCheck Report'!B44</f>
        <v/>
      </c>
      <c r="J10" s="216"/>
      <c r="K10" s="216"/>
      <c r="L10" s="216"/>
      <c r="M10" s="216"/>
    </row>
    <row r="11" spans="1:13" ht="43.95" customHeight="1" x14ac:dyDescent="0.3">
      <c r="A11" s="7"/>
      <c r="B11" s="209"/>
      <c r="C11" s="209"/>
      <c r="D11" s="216"/>
      <c r="E11" s="216"/>
      <c r="F11" s="216"/>
      <c r="G11" s="216"/>
      <c r="H11" s="216"/>
      <c r="I11" s="216"/>
      <c r="J11" s="216"/>
      <c r="K11" s="216"/>
      <c r="L11" s="216"/>
      <c r="M11" s="216"/>
    </row>
    <row r="12" spans="1:13" ht="14.55" customHeight="1" x14ac:dyDescent="0.3">
      <c r="B12" s="209" t="s">
        <v>505</v>
      </c>
      <c r="C12" s="209"/>
      <c r="D12" s="216" t="str">
        <f>'Supervisor Report Logic'!C5</f>
        <v xml:space="preserve">When a worker moves (lifts, pushes, pulls, carries or supports) objects, muscles and tendons can be overloaded when a strong force is applied against the object, or when a weak force is applied many times over a long period of time. </v>
      </c>
      <c r="E12" s="216"/>
      <c r="F12" s="216"/>
      <c r="G12" s="216"/>
      <c r="H12" s="216"/>
      <c r="I12" s="216" t="str">
        <f>'ErgoCheck Report'!B77</f>
        <v/>
      </c>
      <c r="J12" s="216"/>
      <c r="K12" s="216"/>
      <c r="L12" s="216"/>
      <c r="M12" s="216"/>
    </row>
    <row r="13" spans="1:13" x14ac:dyDescent="0.3">
      <c r="B13" s="209"/>
      <c r="C13" s="209"/>
      <c r="D13" s="216"/>
      <c r="E13" s="216"/>
      <c r="F13" s="216"/>
      <c r="G13" s="216"/>
      <c r="H13" s="216"/>
      <c r="I13" s="216"/>
      <c r="J13" s="216"/>
      <c r="K13" s="216"/>
      <c r="L13" s="216"/>
      <c r="M13" s="216"/>
    </row>
    <row r="14" spans="1:13" ht="52.5" customHeight="1" x14ac:dyDescent="0.3">
      <c r="B14" s="209"/>
      <c r="C14" s="209"/>
      <c r="D14" s="216"/>
      <c r="E14" s="216"/>
      <c r="F14" s="216"/>
      <c r="G14" s="216"/>
      <c r="H14" s="216"/>
      <c r="I14" s="216"/>
      <c r="J14" s="216"/>
      <c r="K14" s="216"/>
      <c r="L14" s="216"/>
      <c r="M14" s="216"/>
    </row>
    <row r="15" spans="1:13" ht="14.55" customHeight="1" x14ac:dyDescent="0.3">
      <c r="B15" s="209" t="s">
        <v>506</v>
      </c>
      <c r="C15" s="209"/>
      <c r="D15" s="216" t="str">
        <f>'Supervisor Report Logic'!C8</f>
        <v xml:space="preserve">When a workers body position requires joints, such as the neck or wrist, to be twisted, bent or rotated away from a neutral position muscles operate less efficiently and create additional stress which can lead to  injuries which normally would not occur. </v>
      </c>
      <c r="E15" s="216"/>
      <c r="F15" s="216"/>
      <c r="G15" s="216"/>
      <c r="H15" s="216"/>
      <c r="I15" s="216" t="str">
        <f>'ErgoCheck Report'!B110</f>
        <v/>
      </c>
      <c r="J15" s="216"/>
      <c r="K15" s="216"/>
      <c r="L15" s="216"/>
      <c r="M15" s="216"/>
    </row>
    <row r="16" spans="1:13" x14ac:dyDescent="0.3">
      <c r="B16" s="209"/>
      <c r="C16" s="209"/>
      <c r="D16" s="216"/>
      <c r="E16" s="216"/>
      <c r="F16" s="216"/>
      <c r="G16" s="216"/>
      <c r="H16" s="216"/>
      <c r="I16" s="216"/>
      <c r="J16" s="216"/>
      <c r="K16" s="216"/>
      <c r="L16" s="216"/>
      <c r="M16" s="216"/>
    </row>
    <row r="17" spans="2:13" ht="85.5" customHeight="1" x14ac:dyDescent="0.3">
      <c r="B17" s="209"/>
      <c r="C17" s="209"/>
      <c r="D17" s="216"/>
      <c r="E17" s="216"/>
      <c r="F17" s="216"/>
      <c r="G17" s="216"/>
      <c r="H17" s="216"/>
      <c r="I17" s="216"/>
      <c r="J17" s="216"/>
      <c r="K17" s="216"/>
      <c r="L17" s="216"/>
      <c r="M17" s="216"/>
    </row>
    <row r="18" spans="2:13" ht="14.55" customHeight="1" x14ac:dyDescent="0.3">
      <c r="B18" s="209" t="s">
        <v>507</v>
      </c>
      <c r="C18" s="209"/>
      <c r="D18" s="216" t="str">
        <f>'Supervisor Report Logic'!C15</f>
        <v xml:space="preserve">When a worker performs similar motions using the same muscles with little or no variation, they are exposed to repetition.  They may also be exposed to common risks such as heavy lifting, or awkward postures and their body often cannot manage the added physical strain which can lead to an injury. </v>
      </c>
      <c r="E18" s="216"/>
      <c r="F18" s="216"/>
      <c r="G18" s="216"/>
      <c r="H18" s="216"/>
      <c r="I18" s="216" t="str">
        <f>'ErgoCheck Report'!B143</f>
        <v/>
      </c>
      <c r="J18" s="216"/>
      <c r="K18" s="216"/>
      <c r="L18" s="216"/>
      <c r="M18" s="216"/>
    </row>
    <row r="19" spans="2:13" x14ac:dyDescent="0.3">
      <c r="B19" s="209"/>
      <c r="C19" s="209"/>
      <c r="D19" s="216"/>
      <c r="E19" s="216"/>
      <c r="F19" s="216"/>
      <c r="G19" s="216"/>
      <c r="H19" s="216"/>
      <c r="I19" s="216"/>
      <c r="J19" s="216"/>
      <c r="K19" s="216"/>
      <c r="L19" s="216"/>
      <c r="M19" s="216"/>
    </row>
    <row r="20" spans="2:13" x14ac:dyDescent="0.3">
      <c r="B20" s="209"/>
      <c r="C20" s="209"/>
      <c r="D20" s="216"/>
      <c r="E20" s="216"/>
      <c r="F20" s="216"/>
      <c r="G20" s="216"/>
      <c r="H20" s="216"/>
      <c r="I20" s="216"/>
      <c r="J20" s="216"/>
      <c r="K20" s="216"/>
      <c r="L20" s="216"/>
      <c r="M20" s="216"/>
    </row>
    <row r="21" spans="2:13" ht="52.95" customHeight="1" x14ac:dyDescent="0.3">
      <c r="B21" s="209"/>
      <c r="C21" s="209"/>
      <c r="D21" s="216"/>
      <c r="E21" s="216"/>
      <c r="F21" s="216"/>
      <c r="G21" s="216"/>
      <c r="H21" s="216"/>
      <c r="I21" s="216"/>
      <c r="J21" s="216"/>
      <c r="K21" s="216"/>
      <c r="L21" s="216"/>
      <c r="M21" s="216"/>
    </row>
    <row r="22" spans="2:13" s="7" customFormat="1" x14ac:dyDescent="0.3">
      <c r="B22" s="136"/>
      <c r="C22" s="136"/>
      <c r="D22" s="137"/>
      <c r="E22" s="137"/>
      <c r="F22" s="137"/>
      <c r="G22" s="137"/>
      <c r="H22" s="137"/>
      <c r="I22" s="137"/>
      <c r="J22" s="137"/>
      <c r="K22" s="137"/>
      <c r="L22" s="137"/>
      <c r="M22" s="137"/>
    </row>
    <row r="23" spans="2:13" x14ac:dyDescent="0.3">
      <c r="B23" s="212" t="s">
        <v>513</v>
      </c>
      <c r="C23" s="212"/>
      <c r="D23" s="212"/>
      <c r="E23" s="212"/>
      <c r="F23" s="212"/>
      <c r="G23" s="212"/>
      <c r="H23" s="212"/>
      <c r="I23" s="212"/>
      <c r="J23" s="212"/>
      <c r="K23" s="212"/>
      <c r="L23" s="212"/>
      <c r="M23" s="212"/>
    </row>
    <row r="24" spans="2:13" x14ac:dyDescent="0.3">
      <c r="B24" s="212"/>
      <c r="C24" s="212"/>
      <c r="D24" s="212"/>
      <c r="E24" s="212"/>
      <c r="F24" s="212"/>
      <c r="G24" s="212"/>
      <c r="H24" s="212"/>
      <c r="I24" s="212"/>
      <c r="J24" s="212"/>
      <c r="K24" s="212"/>
      <c r="L24" s="212"/>
      <c r="M24" s="212"/>
    </row>
    <row r="25" spans="2:13" x14ac:dyDescent="0.3">
      <c r="B25" s="5"/>
      <c r="C25" s="5"/>
      <c r="D25" s="5"/>
      <c r="E25" s="5"/>
      <c r="F25" s="5"/>
      <c r="G25" s="5"/>
      <c r="H25" s="5"/>
      <c r="I25" s="5"/>
      <c r="J25" s="5"/>
      <c r="K25" s="5"/>
      <c r="L25" s="5"/>
      <c r="M25" s="5"/>
    </row>
    <row r="26" spans="2:13" x14ac:dyDescent="0.3">
      <c r="B26" s="213" t="s">
        <v>510</v>
      </c>
      <c r="C26" s="213"/>
      <c r="D26" s="213"/>
      <c r="E26" s="213"/>
      <c r="F26" s="213"/>
      <c r="G26" s="213"/>
      <c r="H26" s="213"/>
      <c r="I26" s="213"/>
      <c r="J26" s="213"/>
      <c r="K26" s="213"/>
      <c r="L26" s="213"/>
      <c r="M26" s="213"/>
    </row>
    <row r="27" spans="2:13" x14ac:dyDescent="0.3">
      <c r="B27" s="213"/>
      <c r="C27" s="213"/>
      <c r="D27" s="213"/>
      <c r="E27" s="213"/>
      <c r="F27" s="213"/>
      <c r="G27" s="213"/>
      <c r="H27" s="213"/>
      <c r="I27" s="213"/>
      <c r="J27" s="213"/>
      <c r="K27" s="213"/>
      <c r="L27" s="213"/>
      <c r="M27" s="213"/>
    </row>
    <row r="28" spans="2:13" x14ac:dyDescent="0.3">
      <c r="B28" s="5"/>
      <c r="C28" s="5"/>
      <c r="D28" s="5"/>
      <c r="E28" s="5"/>
      <c r="F28" s="5"/>
      <c r="G28" s="5"/>
      <c r="H28" s="5"/>
      <c r="I28" s="5"/>
      <c r="J28" s="5"/>
      <c r="K28" s="5"/>
      <c r="L28" s="5"/>
      <c r="M28" s="5"/>
    </row>
    <row r="29" spans="2:13" ht="30" hidden="1" customHeight="1" x14ac:dyDescent="0.3">
      <c r="B29" s="209" t="s">
        <v>504</v>
      </c>
      <c r="C29" s="209"/>
      <c r="D29" s="210" t="str">
        <f>(IF('Supervisor Report Logic'!B2="","",'Supervisor Report Logic'!D2))</f>
        <v/>
      </c>
      <c r="E29" s="210"/>
      <c r="F29" s="210"/>
      <c r="G29" s="210"/>
      <c r="H29" s="210"/>
      <c r="I29" s="210"/>
      <c r="J29" s="210"/>
      <c r="K29" s="210"/>
      <c r="L29" s="210"/>
      <c r="M29" s="210"/>
    </row>
    <row r="30" spans="2:13" ht="30" hidden="1" customHeight="1" x14ac:dyDescent="0.3">
      <c r="B30" s="209"/>
      <c r="C30" s="209"/>
      <c r="D30" s="210" t="str">
        <f>IF('Supervisor Report Logic'!B3="","",'Supervisor Report Logic'!D3)</f>
        <v/>
      </c>
      <c r="E30" s="210"/>
      <c r="F30" s="210"/>
      <c r="G30" s="210"/>
      <c r="H30" s="210"/>
      <c r="I30" s="210"/>
      <c r="J30" s="210"/>
      <c r="K30" s="210"/>
      <c r="L30" s="210"/>
      <c r="M30" s="210"/>
    </row>
    <row r="31" spans="2:13" ht="33.75" hidden="1" customHeight="1" x14ac:dyDescent="0.3">
      <c r="B31" s="209"/>
      <c r="C31" s="209"/>
      <c r="D31" s="210" t="str">
        <f>IF('Supervisor Report Logic'!B4="","",'Supervisor Report Logic'!D4)</f>
        <v/>
      </c>
      <c r="E31" s="210"/>
      <c r="F31" s="210"/>
      <c r="G31" s="210"/>
      <c r="H31" s="210"/>
      <c r="I31" s="210"/>
      <c r="J31" s="210"/>
      <c r="K31" s="210"/>
      <c r="L31" s="210"/>
      <c r="M31" s="210"/>
    </row>
    <row r="32" spans="2:13" s="7" customFormat="1" x14ac:dyDescent="0.3">
      <c r="B32" s="139"/>
      <c r="C32" s="139"/>
      <c r="D32" s="140"/>
      <c r="E32" s="140"/>
      <c r="F32" s="140"/>
      <c r="G32" s="140"/>
      <c r="H32" s="140"/>
      <c r="I32" s="140"/>
      <c r="J32" s="140"/>
      <c r="K32" s="140"/>
      <c r="L32" s="140"/>
      <c r="M32" s="140"/>
    </row>
    <row r="33" spans="2:13" s="5" customFormat="1" ht="41.55" hidden="1" customHeight="1" x14ac:dyDescent="0.3">
      <c r="B33" s="209" t="s">
        <v>505</v>
      </c>
      <c r="C33" s="209"/>
      <c r="D33" s="210" t="str">
        <f>(IF('Supervisor Report Logic'!B5="","",'Supervisor Report Logic'!D5))</f>
        <v/>
      </c>
      <c r="E33" s="210"/>
      <c r="F33" s="210"/>
      <c r="G33" s="210"/>
      <c r="H33" s="210"/>
      <c r="I33" s="210"/>
      <c r="J33" s="210"/>
      <c r="K33" s="210"/>
      <c r="L33" s="210"/>
      <c r="M33" s="210"/>
    </row>
    <row r="34" spans="2:13" s="5" customFormat="1" ht="28.05" hidden="1" customHeight="1" x14ac:dyDescent="0.3">
      <c r="B34" s="209"/>
      <c r="C34" s="209"/>
      <c r="D34" s="210" t="str">
        <f>IF('Supervisor Report Logic'!B6="","",'Supervisor Report Logic'!D6)</f>
        <v/>
      </c>
      <c r="E34" s="210"/>
      <c r="F34" s="210"/>
      <c r="G34" s="210"/>
      <c r="H34" s="210"/>
      <c r="I34" s="210"/>
      <c r="J34" s="210"/>
      <c r="K34" s="210"/>
      <c r="L34" s="210"/>
      <c r="M34" s="210"/>
    </row>
    <row r="35" spans="2:13" ht="43.5" hidden="1" customHeight="1" x14ac:dyDescent="0.3">
      <c r="B35" s="209"/>
      <c r="C35" s="209"/>
      <c r="D35" s="210" t="str">
        <f>IF('Supervisor Report Logic'!B7="","",'Supervisor Report Logic'!D7)</f>
        <v/>
      </c>
      <c r="E35" s="210"/>
      <c r="F35" s="210"/>
      <c r="G35" s="210"/>
      <c r="H35" s="210"/>
      <c r="I35" s="210"/>
      <c r="J35" s="210"/>
      <c r="K35" s="210"/>
      <c r="L35" s="210"/>
      <c r="M35" s="210"/>
    </row>
    <row r="36" spans="2:13" x14ac:dyDescent="0.3">
      <c r="B36" s="136"/>
      <c r="C36" s="136"/>
      <c r="D36" s="135"/>
      <c r="E36" s="135"/>
      <c r="F36" s="135"/>
      <c r="G36" s="135"/>
      <c r="H36" s="135"/>
      <c r="I36" s="135"/>
      <c r="J36" s="135"/>
      <c r="K36" s="135"/>
      <c r="L36" s="135"/>
      <c r="M36" s="135"/>
    </row>
    <row r="37" spans="2:13" ht="42.45" hidden="1" customHeight="1" x14ac:dyDescent="0.3">
      <c r="B37" s="209" t="s">
        <v>506</v>
      </c>
      <c r="C37" s="209"/>
      <c r="D37" s="210" t="str">
        <f>(IF('Supervisor Report Logic'!B8="","",'Supervisor Report Logic'!D8))</f>
        <v/>
      </c>
      <c r="E37" s="210"/>
      <c r="F37" s="210"/>
      <c r="G37" s="210"/>
      <c r="H37" s="210"/>
      <c r="I37" s="210"/>
      <c r="J37" s="210"/>
      <c r="K37" s="210"/>
      <c r="L37" s="210"/>
      <c r="M37" s="210"/>
    </row>
    <row r="38" spans="2:13" ht="42.45" hidden="1" customHeight="1" x14ac:dyDescent="0.3">
      <c r="B38" s="209"/>
      <c r="C38" s="209"/>
      <c r="D38" s="211" t="str">
        <f>(IF('Supervisor Report Logic'!B9="","",'Supervisor Report Logic'!D9))</f>
        <v/>
      </c>
      <c r="E38" s="211"/>
      <c r="F38" s="211"/>
      <c r="G38" s="211"/>
      <c r="H38" s="211"/>
      <c r="I38" s="211"/>
      <c r="J38" s="211"/>
      <c r="K38" s="211"/>
      <c r="L38" s="211"/>
      <c r="M38" s="211"/>
    </row>
    <row r="39" spans="2:13" ht="31.95" hidden="1" customHeight="1" x14ac:dyDescent="0.3">
      <c r="B39" s="209"/>
      <c r="C39" s="209"/>
      <c r="D39" s="211" t="str">
        <f>(IF('Supervisor Report Logic'!B10="","",'Supervisor Report Logic'!D10))</f>
        <v/>
      </c>
      <c r="E39" s="211"/>
      <c r="F39" s="211"/>
      <c r="G39" s="211"/>
      <c r="H39" s="211"/>
      <c r="I39" s="211"/>
      <c r="J39" s="211"/>
      <c r="K39" s="211"/>
      <c r="L39" s="211"/>
      <c r="M39" s="211"/>
    </row>
    <row r="40" spans="2:13" ht="47.55" hidden="1" customHeight="1" x14ac:dyDescent="0.3">
      <c r="B40" s="209"/>
      <c r="C40" s="209"/>
      <c r="D40" s="211" t="str">
        <f>(IF('Supervisor Report Logic'!B11="","",'Supervisor Report Logic'!D11))</f>
        <v/>
      </c>
      <c r="E40" s="211"/>
      <c r="F40" s="211"/>
      <c r="G40" s="211"/>
      <c r="H40" s="211"/>
      <c r="I40" s="211"/>
      <c r="J40" s="211"/>
      <c r="K40" s="211"/>
      <c r="L40" s="211"/>
      <c r="M40" s="211"/>
    </row>
    <row r="41" spans="2:13" ht="45.45" hidden="1" customHeight="1" x14ac:dyDescent="0.3">
      <c r="B41" s="209"/>
      <c r="C41" s="209"/>
      <c r="D41" s="211" t="str">
        <f>(IF('Supervisor Report Logic'!B12="","",'Supervisor Report Logic'!D12))</f>
        <v/>
      </c>
      <c r="E41" s="211"/>
      <c r="F41" s="211"/>
      <c r="G41" s="211"/>
      <c r="H41" s="211"/>
      <c r="I41" s="211"/>
      <c r="J41" s="211"/>
      <c r="K41" s="211"/>
      <c r="L41" s="211"/>
      <c r="M41" s="211"/>
    </row>
    <row r="42" spans="2:13" ht="40.5" hidden="1" customHeight="1" x14ac:dyDescent="0.3">
      <c r="B42" s="209"/>
      <c r="C42" s="209"/>
      <c r="D42" s="211" t="str">
        <f>(IF('Supervisor Report Logic'!B13="","",'Supervisor Report Logic'!D13))</f>
        <v/>
      </c>
      <c r="E42" s="211"/>
      <c r="F42" s="211"/>
      <c r="G42" s="211"/>
      <c r="H42" s="211"/>
      <c r="I42" s="211"/>
      <c r="J42" s="211"/>
      <c r="K42" s="211"/>
      <c r="L42" s="211"/>
      <c r="M42" s="211"/>
    </row>
    <row r="43" spans="2:13" ht="45" hidden="1" customHeight="1" x14ac:dyDescent="0.3">
      <c r="B43" s="209"/>
      <c r="C43" s="209"/>
      <c r="D43" s="211" t="str">
        <f>(IF('Supervisor Report Logic'!B14="","",'Supervisor Report Logic'!D14))</f>
        <v/>
      </c>
      <c r="E43" s="211"/>
      <c r="F43" s="211"/>
      <c r="G43" s="211"/>
      <c r="H43" s="211"/>
      <c r="I43" s="211"/>
      <c r="J43" s="211"/>
      <c r="K43" s="211"/>
      <c r="L43" s="211"/>
      <c r="M43" s="211"/>
    </row>
    <row r="44" spans="2:13" x14ac:dyDescent="0.3">
      <c r="B44" s="136"/>
      <c r="C44" s="136"/>
      <c r="D44" s="135"/>
      <c r="E44" s="135"/>
      <c r="F44" s="135"/>
      <c r="G44" s="135"/>
      <c r="H44" s="135"/>
      <c r="I44" s="135"/>
      <c r="J44" s="135"/>
      <c r="K44" s="135"/>
      <c r="L44" s="135"/>
      <c r="M44" s="135"/>
    </row>
    <row r="45" spans="2:13" ht="31.95" hidden="1" customHeight="1" x14ac:dyDescent="0.3">
      <c r="B45" s="209" t="s">
        <v>512</v>
      </c>
      <c r="C45" s="209"/>
      <c r="D45" s="210" t="str">
        <f>(IF('Supervisor Report Logic'!B15="","",'Supervisor Report Logic'!D15))</f>
        <v/>
      </c>
      <c r="E45" s="210"/>
      <c r="F45" s="210"/>
      <c r="G45" s="210"/>
      <c r="H45" s="210"/>
      <c r="I45" s="210"/>
      <c r="J45" s="210"/>
      <c r="K45" s="210"/>
      <c r="L45" s="210"/>
      <c r="M45" s="210"/>
    </row>
    <row r="46" spans="2:13" ht="30.45" hidden="1" customHeight="1" x14ac:dyDescent="0.3">
      <c r="B46" s="209"/>
      <c r="C46" s="209"/>
      <c r="D46" s="210" t="str">
        <f>(IF('Supervisor Report Logic'!B16="","",'Supervisor Report Logic'!D16))</f>
        <v/>
      </c>
      <c r="E46" s="210"/>
      <c r="F46" s="210"/>
      <c r="G46" s="210"/>
      <c r="H46" s="210"/>
      <c r="I46" s="210"/>
      <c r="J46" s="210"/>
      <c r="K46" s="210"/>
      <c r="L46" s="210"/>
      <c r="M46" s="210"/>
    </row>
    <row r="47" spans="2:13" x14ac:dyDescent="0.3">
      <c r="B47" s="134"/>
      <c r="C47" s="134"/>
      <c r="D47" s="135"/>
      <c r="E47" s="135"/>
      <c r="F47" s="135"/>
      <c r="G47" s="135"/>
      <c r="H47" s="135"/>
      <c r="I47" s="135"/>
      <c r="J47" s="135"/>
      <c r="K47" s="135"/>
      <c r="L47" s="135"/>
      <c r="M47" s="135"/>
    </row>
    <row r="48" spans="2:13" x14ac:dyDescent="0.3">
      <c r="B48" s="134"/>
      <c r="C48" s="134"/>
      <c r="D48" s="135"/>
      <c r="E48" s="135"/>
      <c r="F48" s="135"/>
      <c r="G48" s="135"/>
      <c r="H48" s="135"/>
      <c r="I48" s="135"/>
      <c r="J48" s="135"/>
      <c r="K48" s="135"/>
      <c r="L48" s="135"/>
      <c r="M48" s="135"/>
    </row>
    <row r="49" spans="2:13" x14ac:dyDescent="0.3">
      <c r="B49" s="212" t="s">
        <v>514</v>
      </c>
      <c r="C49" s="212"/>
      <c r="D49" s="212"/>
      <c r="E49" s="212"/>
      <c r="F49" s="212"/>
      <c r="G49" s="212"/>
      <c r="H49" s="212"/>
      <c r="I49" s="212"/>
      <c r="J49" s="212"/>
      <c r="K49" s="212"/>
      <c r="L49" s="212"/>
      <c r="M49" s="212"/>
    </row>
    <row r="50" spans="2:13" x14ac:dyDescent="0.3">
      <c r="B50" s="212"/>
      <c r="C50" s="212"/>
      <c r="D50" s="212"/>
      <c r="E50" s="212"/>
      <c r="F50" s="212"/>
      <c r="G50" s="212"/>
      <c r="H50" s="212"/>
      <c r="I50" s="212"/>
      <c r="J50" s="212"/>
      <c r="K50" s="212"/>
      <c r="L50" s="212"/>
      <c r="M50" s="212"/>
    </row>
    <row r="51" spans="2:13" x14ac:dyDescent="0.3">
      <c r="B51" s="5"/>
      <c r="C51" s="5"/>
      <c r="D51" s="135"/>
      <c r="E51" s="135"/>
      <c r="F51" s="135"/>
      <c r="G51" s="135"/>
      <c r="H51" s="135"/>
      <c r="I51" s="135"/>
      <c r="J51" s="135"/>
      <c r="K51" s="135"/>
      <c r="L51" s="135"/>
      <c r="M51" s="135"/>
    </row>
    <row r="52" spans="2:13" x14ac:dyDescent="0.3">
      <c r="B52" s="213" t="s">
        <v>515</v>
      </c>
      <c r="C52" s="213"/>
      <c r="D52" s="213"/>
      <c r="E52" s="213"/>
      <c r="F52" s="213"/>
      <c r="G52" s="213"/>
      <c r="H52" s="213"/>
      <c r="I52" s="213"/>
      <c r="J52" s="213"/>
      <c r="K52" s="213"/>
      <c r="L52" s="213"/>
      <c r="M52" s="213"/>
    </row>
    <row r="53" spans="2:13" x14ac:dyDescent="0.3">
      <c r="B53" s="213"/>
      <c r="C53" s="213"/>
      <c r="D53" s="213"/>
      <c r="E53" s="213"/>
      <c r="F53" s="213"/>
      <c r="G53" s="213"/>
      <c r="H53" s="213"/>
      <c r="I53" s="213"/>
      <c r="J53" s="213"/>
      <c r="K53" s="213"/>
      <c r="L53" s="213"/>
      <c r="M53" s="213"/>
    </row>
    <row r="54" spans="2:13" x14ac:dyDescent="0.3">
      <c r="B54" s="5"/>
      <c r="C54" s="5"/>
      <c r="D54" s="135"/>
      <c r="E54" s="135"/>
      <c r="F54" s="135"/>
      <c r="G54" s="135"/>
      <c r="H54" s="135"/>
      <c r="I54" s="135"/>
      <c r="J54" s="135"/>
      <c r="K54" s="135"/>
      <c r="L54" s="135"/>
      <c r="M54" s="135"/>
    </row>
    <row r="55" spans="2:13" ht="30.45" hidden="1" customHeight="1" x14ac:dyDescent="0.3">
      <c r="B55" s="209" t="s">
        <v>504</v>
      </c>
      <c r="C55" s="209"/>
      <c r="D55" s="210" t="str">
        <f>(IF('Supervisor Report Logic'!B2="","",'Supervisor Report Logic'!E2))</f>
        <v/>
      </c>
      <c r="E55" s="210"/>
      <c r="F55" s="210"/>
      <c r="G55" s="210"/>
      <c r="H55" s="210"/>
      <c r="I55" s="210"/>
      <c r="J55" s="210"/>
      <c r="K55" s="210"/>
      <c r="L55" s="210"/>
      <c r="M55" s="210"/>
    </row>
    <row r="56" spans="2:13" ht="30" hidden="1" customHeight="1" x14ac:dyDescent="0.3">
      <c r="B56" s="209"/>
      <c r="C56" s="209"/>
      <c r="D56" s="210" t="str">
        <f>(IF('Supervisor Report Logic'!B3="","",'Supervisor Report Logic'!E3))</f>
        <v/>
      </c>
      <c r="E56" s="210"/>
      <c r="F56" s="210"/>
      <c r="G56" s="210"/>
      <c r="H56" s="210"/>
      <c r="I56" s="210"/>
      <c r="J56" s="210"/>
      <c r="K56" s="210"/>
      <c r="L56" s="210"/>
      <c r="M56" s="210"/>
    </row>
    <row r="57" spans="2:13" ht="28.95" hidden="1" customHeight="1" x14ac:dyDescent="0.3">
      <c r="B57" s="209"/>
      <c r="C57" s="209"/>
      <c r="D57" s="210" t="str">
        <f>(IF('Supervisor Report Logic'!B4="","",'Supervisor Report Logic'!E4))</f>
        <v/>
      </c>
      <c r="E57" s="210"/>
      <c r="F57" s="210"/>
      <c r="G57" s="210"/>
      <c r="H57" s="210"/>
      <c r="I57" s="210"/>
      <c r="J57" s="210"/>
      <c r="K57" s="210"/>
      <c r="L57" s="210"/>
      <c r="M57" s="210"/>
    </row>
    <row r="58" spans="2:13" x14ac:dyDescent="0.3">
      <c r="B58" s="5"/>
      <c r="C58" s="5"/>
      <c r="D58" s="135"/>
      <c r="E58" s="135"/>
      <c r="F58" s="135"/>
      <c r="G58" s="135"/>
      <c r="H58" s="135"/>
      <c r="I58" s="135"/>
      <c r="J58" s="135"/>
      <c r="K58" s="135"/>
      <c r="L58" s="135"/>
      <c r="M58" s="135"/>
    </row>
    <row r="59" spans="2:13" ht="60" hidden="1" customHeight="1" x14ac:dyDescent="0.3">
      <c r="B59" s="209" t="s">
        <v>505</v>
      </c>
      <c r="C59" s="209"/>
      <c r="D59" s="210" t="str">
        <f>(IF('Supervisor Report Logic'!B5="","",'Supervisor Report Logic'!E5))</f>
        <v/>
      </c>
      <c r="E59" s="210"/>
      <c r="F59" s="210"/>
      <c r="G59" s="210"/>
      <c r="H59" s="210"/>
      <c r="I59" s="210"/>
      <c r="J59" s="210"/>
      <c r="K59" s="210"/>
      <c r="L59" s="210"/>
      <c r="M59" s="210"/>
    </row>
    <row r="60" spans="2:13" ht="31.05" hidden="1" customHeight="1" x14ac:dyDescent="0.3">
      <c r="B60" s="209"/>
      <c r="C60" s="209"/>
      <c r="D60" s="210" t="str">
        <f>(IF('Supervisor Report Logic'!B6="","",'Supervisor Report Logic'!E6))</f>
        <v/>
      </c>
      <c r="E60" s="210"/>
      <c r="F60" s="210"/>
      <c r="G60" s="210"/>
      <c r="H60" s="210"/>
      <c r="I60" s="210"/>
      <c r="J60" s="210"/>
      <c r="K60" s="210"/>
      <c r="L60" s="210"/>
      <c r="M60" s="210"/>
    </row>
    <row r="61" spans="2:13" ht="31.95" hidden="1" customHeight="1" x14ac:dyDescent="0.3">
      <c r="B61" s="209"/>
      <c r="C61" s="209"/>
      <c r="D61" s="210" t="str">
        <f>(IF('Supervisor Report Logic'!B7="","",'Supervisor Report Logic'!E7))</f>
        <v/>
      </c>
      <c r="E61" s="210"/>
      <c r="F61" s="210"/>
      <c r="G61" s="210"/>
      <c r="H61" s="210"/>
      <c r="I61" s="210"/>
      <c r="J61" s="210"/>
      <c r="K61" s="210"/>
      <c r="L61" s="210"/>
      <c r="M61" s="210"/>
    </row>
    <row r="63" spans="2:13" ht="31.05" hidden="1" customHeight="1" x14ac:dyDescent="0.3">
      <c r="B63" s="212" t="s">
        <v>506</v>
      </c>
      <c r="C63" s="212"/>
      <c r="D63" s="159" t="str">
        <f>(IF('Supervisor Report Logic'!B8="","",'Supervisor Report Logic'!E8))</f>
        <v/>
      </c>
      <c r="E63" s="159"/>
      <c r="F63" s="159"/>
      <c r="G63" s="159"/>
      <c r="H63" s="159"/>
      <c r="I63" s="159"/>
      <c r="J63" s="159"/>
      <c r="K63" s="159"/>
      <c r="L63" s="159"/>
      <c r="M63" s="159"/>
    </row>
    <row r="64" spans="2:13" ht="44.55" hidden="1" customHeight="1" x14ac:dyDescent="0.3">
      <c r="B64" s="212"/>
      <c r="C64" s="212"/>
      <c r="D64" s="159" t="str">
        <f>(IF('Supervisor Report Logic'!B9="","",'Supervisor Report Logic'!E9))</f>
        <v/>
      </c>
      <c r="E64" s="159"/>
      <c r="F64" s="159"/>
      <c r="G64" s="159"/>
      <c r="H64" s="159"/>
      <c r="I64" s="159"/>
      <c r="J64" s="159"/>
      <c r="K64" s="159"/>
      <c r="L64" s="159"/>
      <c r="M64" s="159"/>
    </row>
    <row r="65" spans="2:13" ht="41.55" hidden="1" customHeight="1" x14ac:dyDescent="0.3">
      <c r="B65" s="212"/>
      <c r="C65" s="212"/>
      <c r="D65" s="159" t="str">
        <f>(IF('Supervisor Report Logic'!B10="","",'Supervisor Report Logic'!E10))</f>
        <v/>
      </c>
      <c r="E65" s="159"/>
      <c r="F65" s="159"/>
      <c r="G65" s="159"/>
      <c r="H65" s="159"/>
      <c r="I65" s="159"/>
      <c r="J65" s="159"/>
      <c r="K65" s="159"/>
      <c r="L65" s="159"/>
      <c r="M65" s="159"/>
    </row>
    <row r="66" spans="2:13" ht="43.5" hidden="1" customHeight="1" x14ac:dyDescent="0.3">
      <c r="B66" s="212"/>
      <c r="C66" s="212"/>
      <c r="D66" s="159" t="str">
        <f>(IF('Supervisor Report Logic'!B11="","",'Supervisor Report Logic'!E11))</f>
        <v/>
      </c>
      <c r="E66" s="159"/>
      <c r="F66" s="159"/>
      <c r="G66" s="159"/>
      <c r="H66" s="159"/>
      <c r="I66" s="159"/>
      <c r="J66" s="159"/>
      <c r="K66" s="159"/>
      <c r="L66" s="159"/>
      <c r="M66" s="159"/>
    </row>
    <row r="67" spans="2:13" ht="42.45" hidden="1" customHeight="1" x14ac:dyDescent="0.3">
      <c r="B67" s="212"/>
      <c r="C67" s="212"/>
      <c r="D67" s="159" t="str">
        <f>(IF('Supervisor Report Logic'!B12="","",'Supervisor Report Logic'!E12))</f>
        <v/>
      </c>
      <c r="E67" s="159"/>
      <c r="F67" s="159"/>
      <c r="G67" s="159"/>
      <c r="H67" s="159"/>
      <c r="I67" s="159"/>
      <c r="J67" s="159"/>
      <c r="K67" s="159"/>
      <c r="L67" s="159"/>
      <c r="M67" s="159"/>
    </row>
    <row r="68" spans="2:13" ht="31.05" hidden="1" customHeight="1" x14ac:dyDescent="0.3">
      <c r="B68" s="212"/>
      <c r="C68" s="212"/>
      <c r="D68" s="159" t="str">
        <f>(IF('Supervisor Report Logic'!B13="","",'Supervisor Report Logic'!E13))</f>
        <v/>
      </c>
      <c r="E68" s="159"/>
      <c r="F68" s="159"/>
      <c r="G68" s="159"/>
      <c r="H68" s="159"/>
      <c r="I68" s="159"/>
      <c r="J68" s="159"/>
      <c r="K68" s="159"/>
      <c r="L68" s="159"/>
      <c r="M68" s="159"/>
    </row>
    <row r="69" spans="2:13" ht="40.049999999999997" hidden="1" customHeight="1" x14ac:dyDescent="0.3">
      <c r="B69" s="212"/>
      <c r="C69" s="212"/>
      <c r="D69" s="159" t="str">
        <f>(IF('Supervisor Report Logic'!B14="","",'Supervisor Report Logic'!E14))</f>
        <v/>
      </c>
      <c r="E69" s="159"/>
      <c r="F69" s="159"/>
      <c r="G69" s="159"/>
      <c r="H69" s="159"/>
      <c r="I69" s="159"/>
      <c r="J69" s="159"/>
      <c r="K69" s="159"/>
      <c r="L69" s="159"/>
      <c r="M69" s="159"/>
    </row>
    <row r="70" spans="2:13" x14ac:dyDescent="0.3">
      <c r="D70" s="47"/>
      <c r="E70" s="47"/>
      <c r="F70" s="47"/>
      <c r="G70" s="47"/>
    </row>
    <row r="71" spans="2:13" ht="43.5" hidden="1" customHeight="1" x14ac:dyDescent="0.3">
      <c r="B71" s="209" t="s">
        <v>512</v>
      </c>
      <c r="C71" s="209"/>
      <c r="D71" s="217" t="str">
        <f>(IF('Supervisor Report Logic'!B15="","",'Supervisor Report Logic'!E15))</f>
        <v/>
      </c>
      <c r="E71" s="217"/>
      <c r="F71" s="217"/>
      <c r="G71" s="217"/>
      <c r="H71" s="217"/>
      <c r="I71" s="217"/>
      <c r="J71" s="217"/>
      <c r="K71" s="217"/>
      <c r="L71" s="217"/>
      <c r="M71" s="217"/>
    </row>
    <row r="72" spans="2:13" ht="41.55" hidden="1" customHeight="1" x14ac:dyDescent="0.3">
      <c r="B72" s="209"/>
      <c r="C72" s="209"/>
      <c r="D72" s="217" t="str">
        <f>(IF('Supervisor Report Logic'!B16="","",'Supervisor Report Logic'!E16))</f>
        <v/>
      </c>
      <c r="E72" s="217"/>
      <c r="F72" s="217"/>
      <c r="G72" s="217"/>
      <c r="H72" s="217"/>
      <c r="I72" s="217"/>
      <c r="J72" s="217"/>
      <c r="K72" s="217"/>
      <c r="L72" s="217"/>
      <c r="M72" s="217"/>
    </row>
  </sheetData>
  <mergeCells count="59">
    <mergeCell ref="D69:M69"/>
    <mergeCell ref="B63:C69"/>
    <mergeCell ref="B71:C72"/>
    <mergeCell ref="D71:M71"/>
    <mergeCell ref="D72:M72"/>
    <mergeCell ref="D67:M67"/>
    <mergeCell ref="D68:M68"/>
    <mergeCell ref="I10:M11"/>
    <mergeCell ref="D33:M33"/>
    <mergeCell ref="D34:M34"/>
    <mergeCell ref="D35:M35"/>
    <mergeCell ref="B33:C35"/>
    <mergeCell ref="G2:J4"/>
    <mergeCell ref="B5:M6"/>
    <mergeCell ref="B18:C21"/>
    <mergeCell ref="B7:M8"/>
    <mergeCell ref="B10:C11"/>
    <mergeCell ref="B12:C14"/>
    <mergeCell ref="B15:C17"/>
    <mergeCell ref="D10:H11"/>
    <mergeCell ref="D15:H17"/>
    <mergeCell ref="I15:M17"/>
    <mergeCell ref="D18:H21"/>
    <mergeCell ref="I18:M21"/>
    <mergeCell ref="D9:H9"/>
    <mergeCell ref="I9:M9"/>
    <mergeCell ref="D12:H14"/>
    <mergeCell ref="I12:M14"/>
    <mergeCell ref="D30:M30"/>
    <mergeCell ref="B23:M24"/>
    <mergeCell ref="B49:M50"/>
    <mergeCell ref="B52:M53"/>
    <mergeCell ref="D46:M46"/>
    <mergeCell ref="D41:M41"/>
    <mergeCell ref="D42:M42"/>
    <mergeCell ref="D43:M43"/>
    <mergeCell ref="B26:M27"/>
    <mergeCell ref="D31:M31"/>
    <mergeCell ref="B29:C31"/>
    <mergeCell ref="D29:M29"/>
    <mergeCell ref="D37:M37"/>
    <mergeCell ref="B55:C57"/>
    <mergeCell ref="D55:M55"/>
    <mergeCell ref="D56:M56"/>
    <mergeCell ref="D57:M57"/>
    <mergeCell ref="B37:C43"/>
    <mergeCell ref="D45:M45"/>
    <mergeCell ref="D38:M38"/>
    <mergeCell ref="D39:M39"/>
    <mergeCell ref="D40:M40"/>
    <mergeCell ref="B45:C46"/>
    <mergeCell ref="B59:C61"/>
    <mergeCell ref="D59:M59"/>
    <mergeCell ref="D60:M60"/>
    <mergeCell ref="D61:M61"/>
    <mergeCell ref="D66:M66"/>
    <mergeCell ref="D63:M63"/>
    <mergeCell ref="D64:M64"/>
    <mergeCell ref="D65:M65"/>
  </mergeCells>
  <pageMargins left="0.7" right="0.7" top="0.75" bottom="0.75" header="0.3" footer="0.3"/>
  <pageSetup orientation="landscape" horizontalDpi="90"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49"/>
  <sheetViews>
    <sheetView topLeftCell="A13" zoomScale="60" zoomScaleNormal="60" workbookViewId="0">
      <selection activeCell="D15" sqref="D15"/>
    </sheetView>
  </sheetViews>
  <sheetFormatPr defaultRowHeight="14.4" x14ac:dyDescent="0.3"/>
  <cols>
    <col min="1" max="1" width="21.21875" style="7" customWidth="1"/>
    <col min="2" max="2" width="55.44140625" bestFit="1" customWidth="1"/>
    <col min="3" max="3" width="69.77734375" customWidth="1"/>
    <col min="4" max="4" width="66.21875" customWidth="1"/>
    <col min="5" max="5" width="57.6640625" customWidth="1"/>
  </cols>
  <sheetData>
    <row r="1" spans="1:5" x14ac:dyDescent="0.3">
      <c r="A1" s="112" t="s">
        <v>487</v>
      </c>
      <c r="B1" s="112" t="s">
        <v>468</v>
      </c>
      <c r="C1" s="112" t="s">
        <v>474</v>
      </c>
      <c r="D1" s="112" t="s">
        <v>472</v>
      </c>
      <c r="E1" s="112" t="s">
        <v>473</v>
      </c>
    </row>
    <row r="2" spans="1:5" ht="43.2" x14ac:dyDescent="0.3">
      <c r="A2" s="222" t="s">
        <v>42</v>
      </c>
      <c r="B2" s="114" t="str">
        <f>IF('Matrix - Part 2'!I5=4,'Matrix - Part 2'!H6,"")</f>
        <v/>
      </c>
      <c r="C2" s="219" t="s">
        <v>471</v>
      </c>
      <c r="D2" s="113" t="s">
        <v>502</v>
      </c>
      <c r="E2" s="40" t="s">
        <v>478</v>
      </c>
    </row>
    <row r="3" spans="1:5" ht="43.2" x14ac:dyDescent="0.3">
      <c r="A3" s="222"/>
      <c r="B3" s="27" t="str">
        <f>IF('Matrix - Part 2'!I10=4,'Matrix - Part 2'!H12,"")</f>
        <v/>
      </c>
      <c r="C3" s="219"/>
      <c r="D3" s="111" t="s">
        <v>476</v>
      </c>
      <c r="E3" s="38" t="s">
        <v>475</v>
      </c>
    </row>
    <row r="4" spans="1:5" ht="43.8" thickBot="1" x14ac:dyDescent="0.35">
      <c r="A4" s="223"/>
      <c r="B4" s="117" t="str">
        <f>IF('Matrix - Part 2'!I23=4,'Matrix - Part 2'!H24,"")</f>
        <v/>
      </c>
      <c r="C4" s="220"/>
      <c r="D4" s="116" t="s">
        <v>477</v>
      </c>
      <c r="E4" s="115" t="s">
        <v>479</v>
      </c>
    </row>
    <row r="5" spans="1:5" ht="100.95" customHeight="1" x14ac:dyDescent="0.3">
      <c r="A5" s="222" t="s">
        <v>40</v>
      </c>
      <c r="B5" s="38" t="str">
        <f>IF('Matrix - Part 3'!I8=4,'Matrix - Part 3'!H9,"")</f>
        <v/>
      </c>
      <c r="C5" s="221" t="s">
        <v>482</v>
      </c>
      <c r="D5" s="38" t="s">
        <v>480</v>
      </c>
      <c r="E5" s="113" t="s">
        <v>481</v>
      </c>
    </row>
    <row r="6" spans="1:5" ht="60.45" customHeight="1" x14ac:dyDescent="0.3">
      <c r="A6" s="222"/>
      <c r="B6" s="40" t="str">
        <f>IF('Matrix - Part 3'!I11=4,'Matrix - Part 3'!H14,"")</f>
        <v/>
      </c>
      <c r="C6" s="219"/>
      <c r="D6" s="38" t="s">
        <v>483</v>
      </c>
      <c r="E6" s="40" t="s">
        <v>486</v>
      </c>
    </row>
    <row r="7" spans="1:5" ht="64.95" customHeight="1" thickBot="1" x14ac:dyDescent="0.35">
      <c r="A7" s="223"/>
      <c r="B7" s="115" t="str">
        <f>IF('Matrix - Part 3'!I20=4,'Matrix - Part 3'!H23,"")</f>
        <v/>
      </c>
      <c r="C7" s="220"/>
      <c r="D7" s="116" t="s">
        <v>484</v>
      </c>
      <c r="E7" s="115" t="s">
        <v>485</v>
      </c>
    </row>
    <row r="8" spans="1:5" ht="66" customHeight="1" x14ac:dyDescent="0.3">
      <c r="A8" s="224" t="s">
        <v>44</v>
      </c>
      <c r="B8" s="124" t="str">
        <f>IF('Matrix - Part 4'!I9=4,'Matrix - Part 4'!H11,"")</f>
        <v/>
      </c>
      <c r="C8" s="221" t="s">
        <v>517</v>
      </c>
      <c r="D8" s="125" t="s">
        <v>511</v>
      </c>
      <c r="E8" s="126" t="s">
        <v>488</v>
      </c>
    </row>
    <row r="9" spans="1:5" ht="57.6" x14ac:dyDescent="0.3">
      <c r="A9" s="222"/>
      <c r="B9" s="122" t="str">
        <f>IF('Matrix - Part 4'!I13=4,'Matrix - Part 4'!H13,"")</f>
        <v/>
      </c>
      <c r="C9" s="219"/>
      <c r="D9" s="120" t="s">
        <v>489</v>
      </c>
      <c r="E9" s="34" t="s">
        <v>518</v>
      </c>
    </row>
    <row r="10" spans="1:5" ht="43.2" x14ac:dyDescent="0.3">
      <c r="A10" s="222"/>
      <c r="B10" s="127" t="str">
        <f>IF('Matrix - Part 4'!I18=4,'Matrix - Part 4'!H19,"")</f>
        <v/>
      </c>
      <c r="C10" s="219"/>
      <c r="D10" s="120" t="s">
        <v>490</v>
      </c>
      <c r="E10" s="34" t="s">
        <v>519</v>
      </c>
    </row>
    <row r="11" spans="1:5" ht="81.45" customHeight="1" x14ac:dyDescent="0.3">
      <c r="A11" s="222"/>
      <c r="B11" s="138" t="str">
        <f>IF('Matrix - Part 4'!I27=4,'Matrix - Part 4'!H30,"")</f>
        <v/>
      </c>
      <c r="C11" s="219"/>
      <c r="D11" s="120" t="s">
        <v>491</v>
      </c>
      <c r="E11" s="121" t="s">
        <v>520</v>
      </c>
    </row>
    <row r="12" spans="1:5" ht="69" customHeight="1" x14ac:dyDescent="0.3">
      <c r="A12" s="222"/>
      <c r="B12" s="81" t="str">
        <f>IF('Matrix - Part 4'!I32=4,'Matrix - Part 4'!H34,"")</f>
        <v/>
      </c>
      <c r="C12" s="219"/>
      <c r="D12" s="120" t="s">
        <v>494</v>
      </c>
      <c r="E12" s="34" t="s">
        <v>492</v>
      </c>
    </row>
    <row r="13" spans="1:5" ht="62.55" customHeight="1" x14ac:dyDescent="0.3">
      <c r="A13" s="222"/>
      <c r="B13" s="81" t="str">
        <f>IF('Matrix - Part 4'!I36=4,'Matrix - Part 4'!H37,"")</f>
        <v/>
      </c>
      <c r="C13" s="219"/>
      <c r="D13" s="120" t="s">
        <v>495</v>
      </c>
      <c r="E13" s="123" t="s">
        <v>521</v>
      </c>
    </row>
    <row r="14" spans="1:5" ht="62.55" customHeight="1" thickBot="1" x14ac:dyDescent="0.35">
      <c r="A14" s="223"/>
      <c r="B14" s="128" t="str">
        <f>IF('Matrix - Part 4'!I40=4,'Matrix - Part 4'!H42,"")</f>
        <v/>
      </c>
      <c r="C14" s="220"/>
      <c r="D14" s="129" t="s">
        <v>496</v>
      </c>
      <c r="E14" s="130" t="s">
        <v>522</v>
      </c>
    </row>
    <row r="15" spans="1:5" ht="70.95" customHeight="1" x14ac:dyDescent="0.3">
      <c r="A15" s="7" t="s">
        <v>41</v>
      </c>
      <c r="B15" s="38" t="str">
        <f>IF('Matrix - Part 5'!I19=4,'Matrix - Part 5'!H23,"")</f>
        <v/>
      </c>
      <c r="C15" s="218" t="s">
        <v>497</v>
      </c>
      <c r="D15" s="131" t="s">
        <v>523</v>
      </c>
      <c r="E15" s="131" t="s">
        <v>498</v>
      </c>
    </row>
    <row r="16" spans="1:5" ht="57.6" x14ac:dyDescent="0.3">
      <c r="B16" s="40" t="str">
        <f>IF('Matrix - Part 5'!I33=4,'Matrix - Part 5'!H36,"")</f>
        <v/>
      </c>
      <c r="C16" s="166"/>
      <c r="D16" s="120" t="s">
        <v>499</v>
      </c>
      <c r="E16" s="119" t="s">
        <v>516</v>
      </c>
    </row>
    <row r="19" spans="1:4" x14ac:dyDescent="0.3">
      <c r="A19" s="7" t="s">
        <v>501</v>
      </c>
    </row>
    <row r="20" spans="1:4" x14ac:dyDescent="0.3">
      <c r="A20" s="7" t="str">
        <f>IFERROR(IF(OR('Matrix - Part 2'!I5=4,'Matrix - Part 2'!I10=4,'Matrix - Part 2'!I23=4),"Contact Stress",""),"")</f>
        <v/>
      </c>
      <c r="C20">
        <f>COUNTIF(B2:B4,"")</f>
        <v>3</v>
      </c>
      <c r="D20" s="132" t="str">
        <f>IF(C20=0,"3","")&amp;IF(C20=1,"2","")&amp;IF(C20=2,"1","")&amp;IF(C20=3,"0","")</f>
        <v>0</v>
      </c>
    </row>
    <row r="21" spans="1:4" x14ac:dyDescent="0.3">
      <c r="A21" s="7" t="str">
        <f>IFERROR(IF(OR('Matrix - Part 3'!I8=4,'Matrix - Part 3'!I11=4,'Matrix - Part 3'!I20=4),"Force",""),"")</f>
        <v/>
      </c>
      <c r="C21">
        <f>COUNTIF(B5:B7,"")</f>
        <v>3</v>
      </c>
      <c r="D21" s="132" t="str">
        <f>IF(C21=0,"3","")&amp;IF(C21=1,"2","")&amp;IF(C21=2,"1","")&amp;IF(C21=3,"0","")</f>
        <v>0</v>
      </c>
    </row>
    <row r="22" spans="1:4" x14ac:dyDescent="0.3">
      <c r="A22" s="7" t="str">
        <f>IFERROR(IF(OR('Matrix - Part 4'!I9=4,'Matrix - Part 4'!I13=4,'Matrix - Part 4'!I19=4,'Matrix - Part 4'!I27=4,'Matrix - Part 4'!I32=4,'Matrix - Part 4'!I34=4,'Matrix - Part 4'!I36=4,'Matrix - Part 4'!I40=4),"Awkward Posture",""),"")</f>
        <v/>
      </c>
      <c r="C22">
        <f>COUNTIF(B8:B14,"")</f>
        <v>7</v>
      </c>
      <c r="D22" t="str">
        <f>IF(C22=7,"0","")&amp;IF(C22=6,"1","")&amp;IF(C22=5,"2","")&amp;IF(C22=4,"3","")&amp;IF(C22=3,"4","")&amp;IF(C22=2,"5","")&amp;IF(C22=1,"6","")&amp;IF(C22=0,"7","")</f>
        <v>0</v>
      </c>
    </row>
    <row r="23" spans="1:4" x14ac:dyDescent="0.3">
      <c r="A23" s="7" t="str">
        <f>IFERROR(IF(OR('Matrix - Part 5'!I19=4,'Matrix - Part 5'!I33=4),"Repetition",""),"")</f>
        <v/>
      </c>
      <c r="C23">
        <f>COUNTIF(B15:B16,"")</f>
        <v>2</v>
      </c>
      <c r="D23" t="str">
        <f>IF(C23=2,"0","")&amp;IF(C23=1,"1","")&amp;IF(C23=0,"2","")</f>
        <v>0</v>
      </c>
    </row>
    <row r="24" spans="1:4" x14ac:dyDescent="0.3">
      <c r="D24">
        <f>D20+D21+D22+D23</f>
        <v>0</v>
      </c>
    </row>
    <row r="27" spans="1:4" x14ac:dyDescent="0.3">
      <c r="C27" s="7" t="str">
        <f>IFERROR(IF(OR('Matrix - Part 2'!K12=4,'Matrix - Part 2'!K17=4,'Matrix - Part 2'!K30=4),"Contact Stress",""),"")</f>
        <v/>
      </c>
    </row>
    <row r="28" spans="1:4" x14ac:dyDescent="0.3">
      <c r="C28" s="13"/>
      <c r="D28" s="133"/>
    </row>
    <row r="29" spans="1:4" x14ac:dyDescent="0.3">
      <c r="C29" s="13"/>
    </row>
    <row r="30" spans="1:4" x14ac:dyDescent="0.3">
      <c r="C30" s="13"/>
    </row>
    <row r="31" spans="1:4" x14ac:dyDescent="0.3">
      <c r="C31" s="13"/>
    </row>
    <row r="32" spans="1:4" x14ac:dyDescent="0.3">
      <c r="C32" s="13"/>
    </row>
    <row r="49" spans="4:4" x14ac:dyDescent="0.3">
      <c r="D49" t="str">
        <f>(IF('Supervisor Report Logic'!B16="",""))</f>
        <v/>
      </c>
    </row>
  </sheetData>
  <mergeCells count="7">
    <mergeCell ref="C15:C16"/>
    <mergeCell ref="C2:C4"/>
    <mergeCell ref="C5:C7"/>
    <mergeCell ref="A2:A4"/>
    <mergeCell ref="A5:A7"/>
    <mergeCell ref="A8:A14"/>
    <mergeCell ref="C8:C1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2"/>
  <sheetViews>
    <sheetView topLeftCell="E1" zoomScale="51" zoomScaleNormal="40" zoomScalePageLayoutView="70" workbookViewId="0">
      <selection activeCell="E34" sqref="E34"/>
    </sheetView>
  </sheetViews>
  <sheetFormatPr defaultRowHeight="14.4" x14ac:dyDescent="0.3"/>
  <cols>
    <col min="1" max="1" width="17.21875" bestFit="1" customWidth="1"/>
    <col min="2" max="2" width="55.21875" customWidth="1"/>
    <col min="3" max="3" width="21.33203125" bestFit="1" customWidth="1"/>
    <col min="4" max="4" width="11.21875" bestFit="1" customWidth="1"/>
    <col min="5" max="5" width="25.21875" bestFit="1" customWidth="1"/>
    <col min="8" max="8" width="195.33203125" bestFit="1" customWidth="1"/>
    <col min="9" max="9" width="27.6640625" bestFit="1" customWidth="1"/>
  </cols>
  <sheetData>
    <row r="1" spans="1:10" s="7" customFormat="1" x14ac:dyDescent="0.3">
      <c r="A1" s="169" t="s">
        <v>93</v>
      </c>
      <c r="B1" s="169"/>
      <c r="C1" s="169"/>
      <c r="D1" s="169"/>
      <c r="E1" s="169"/>
      <c r="F1" s="169"/>
      <c r="G1" s="169"/>
      <c r="H1" s="169"/>
      <c r="I1" s="169"/>
      <c r="J1" s="169"/>
    </row>
    <row r="2" spans="1:10" s="7" customFormat="1" x14ac:dyDescent="0.3">
      <c r="A2" s="6"/>
      <c r="B2" s="6"/>
      <c r="C2" s="6"/>
      <c r="D2" s="6"/>
      <c r="E2" s="6"/>
      <c r="F2" s="6"/>
      <c r="G2" s="6"/>
      <c r="H2" s="6"/>
      <c r="I2" s="6"/>
      <c r="J2" s="6"/>
    </row>
    <row r="3" spans="1:10" s="7" customFormat="1" x14ac:dyDescent="0.3"/>
    <row r="4" spans="1:10" x14ac:dyDescent="0.3">
      <c r="A4" s="166" t="s">
        <v>50</v>
      </c>
      <c r="B4" s="226" t="s">
        <v>51</v>
      </c>
      <c r="C4" s="7" t="s">
        <v>52</v>
      </c>
      <c r="D4" s="7" t="s">
        <v>53</v>
      </c>
      <c r="E4" s="7" t="s">
        <v>54</v>
      </c>
      <c r="F4" s="7" t="s">
        <v>55</v>
      </c>
      <c r="G4" s="12">
        <v>1</v>
      </c>
      <c r="I4" t="s">
        <v>89</v>
      </c>
    </row>
    <row r="5" spans="1:10" x14ac:dyDescent="0.3">
      <c r="A5" s="166"/>
      <c r="B5" s="226"/>
      <c r="C5" s="7" t="s">
        <v>56</v>
      </c>
      <c r="D5" s="7" t="s">
        <v>57</v>
      </c>
      <c r="E5" s="7" t="s">
        <v>58</v>
      </c>
      <c r="F5" s="7" t="s">
        <v>43</v>
      </c>
      <c r="G5" s="10">
        <v>2</v>
      </c>
      <c r="H5" s="7" t="s">
        <v>469</v>
      </c>
      <c r="I5" s="18">
        <f>IFERROR(VLOOKUP('Answer Sheet'!E14,'Matrix - Part 2'!F4:G6,2,FALSE),0)</f>
        <v>0</v>
      </c>
    </row>
    <row r="6" spans="1:10" x14ac:dyDescent="0.3">
      <c r="A6" s="166"/>
      <c r="B6" s="226"/>
      <c r="C6" s="7" t="s">
        <v>59</v>
      </c>
      <c r="D6" s="7" t="s">
        <v>60</v>
      </c>
      <c r="E6" s="7" t="s">
        <v>61</v>
      </c>
      <c r="F6" s="7" t="s">
        <v>62</v>
      </c>
      <c r="G6" s="8">
        <v>4</v>
      </c>
      <c r="H6" s="7" t="s">
        <v>470</v>
      </c>
      <c r="I6" s="18"/>
    </row>
    <row r="7" spans="1:10" x14ac:dyDescent="0.3">
      <c r="A7" s="7"/>
      <c r="B7" s="7"/>
      <c r="C7" s="7"/>
      <c r="D7" s="7"/>
      <c r="E7" s="7"/>
      <c r="F7" s="7"/>
      <c r="G7" s="7"/>
      <c r="I7" s="18"/>
    </row>
    <row r="8" spans="1:10" x14ac:dyDescent="0.3">
      <c r="A8" s="7"/>
      <c r="B8" s="7"/>
      <c r="C8" s="7"/>
      <c r="D8" s="7"/>
      <c r="E8" s="7"/>
      <c r="F8" s="7"/>
      <c r="G8" s="7"/>
      <c r="I8" s="18"/>
    </row>
    <row r="9" spans="1:10" x14ac:dyDescent="0.3">
      <c r="A9" s="227" t="s">
        <v>63</v>
      </c>
      <c r="B9" s="226" t="s">
        <v>64</v>
      </c>
      <c r="C9" s="7" t="s">
        <v>65</v>
      </c>
      <c r="D9" s="7" t="s">
        <v>53</v>
      </c>
      <c r="E9" s="7" t="s">
        <v>54</v>
      </c>
      <c r="F9" s="7" t="s">
        <v>66</v>
      </c>
      <c r="G9" s="9">
        <v>1</v>
      </c>
      <c r="I9" s="18"/>
      <c r="J9" s="7"/>
    </row>
    <row r="10" spans="1:10" x14ac:dyDescent="0.3">
      <c r="A10" s="227"/>
      <c r="B10" s="226"/>
      <c r="C10" s="7" t="s">
        <v>67</v>
      </c>
      <c r="D10" s="7" t="s">
        <v>68</v>
      </c>
      <c r="E10" s="7" t="s">
        <v>69</v>
      </c>
      <c r="F10" s="7" t="s">
        <v>46</v>
      </c>
      <c r="G10" s="9">
        <v>1</v>
      </c>
      <c r="I10" s="18">
        <f>IFERROR(VLOOKUP('Answer Sheet'!E15,'Matrix - Part 2'!F9:G12,2,FALSE),0)</f>
        <v>0</v>
      </c>
    </row>
    <row r="11" spans="1:10" x14ac:dyDescent="0.3">
      <c r="A11" s="227"/>
      <c r="B11" s="226"/>
      <c r="C11" s="7" t="s">
        <v>70</v>
      </c>
      <c r="D11" s="7" t="s">
        <v>71</v>
      </c>
      <c r="E11" s="7" t="s">
        <v>58</v>
      </c>
      <c r="F11" s="7" t="s">
        <v>72</v>
      </c>
      <c r="G11" s="11">
        <v>3</v>
      </c>
      <c r="H11" t="s">
        <v>394</v>
      </c>
      <c r="I11" s="18"/>
    </row>
    <row r="12" spans="1:10" x14ac:dyDescent="0.3">
      <c r="A12" s="227"/>
      <c r="B12" s="226"/>
      <c r="C12" s="7" t="s">
        <v>73</v>
      </c>
      <c r="D12" s="7" t="s">
        <v>60</v>
      </c>
      <c r="E12" s="7" t="s">
        <v>74</v>
      </c>
      <c r="F12" s="7" t="s">
        <v>75</v>
      </c>
      <c r="G12" s="8">
        <v>4</v>
      </c>
      <c r="H12" t="s">
        <v>392</v>
      </c>
      <c r="I12" s="18"/>
    </row>
    <row r="13" spans="1:10" x14ac:dyDescent="0.3">
      <c r="A13" s="7"/>
      <c r="B13" s="7"/>
      <c r="C13" s="7"/>
      <c r="D13" s="7"/>
      <c r="E13" s="7"/>
      <c r="F13" s="7"/>
      <c r="G13" s="7"/>
      <c r="I13" s="18"/>
    </row>
    <row r="14" spans="1:10" x14ac:dyDescent="0.3">
      <c r="A14" s="7"/>
      <c r="B14" s="7"/>
      <c r="C14" s="7"/>
      <c r="D14" s="7"/>
      <c r="E14" s="7"/>
      <c r="F14" s="7"/>
      <c r="G14" s="7"/>
      <c r="I14" s="18"/>
    </row>
    <row r="15" spans="1:10" x14ac:dyDescent="0.3">
      <c r="A15" s="7"/>
      <c r="B15" s="7"/>
      <c r="C15" s="7"/>
      <c r="D15" s="7"/>
      <c r="E15" s="7"/>
      <c r="F15" s="7"/>
      <c r="G15" s="7"/>
      <c r="I15" s="18"/>
    </row>
    <row r="16" spans="1:10" s="7" customFormat="1" ht="14.55" customHeight="1" x14ac:dyDescent="0.3">
      <c r="A16" s="227" t="s">
        <v>76</v>
      </c>
      <c r="B16" s="226" t="s">
        <v>77</v>
      </c>
      <c r="C16" s="7" t="s">
        <v>451</v>
      </c>
      <c r="D16" s="7" t="s">
        <v>53</v>
      </c>
      <c r="E16" s="7" t="s">
        <v>54</v>
      </c>
      <c r="F16" s="7" t="s">
        <v>455</v>
      </c>
      <c r="G16" s="9">
        <v>1</v>
      </c>
      <c r="I16" s="18" t="str">
        <f>IFERROR(VLOOKUP('Answer Sheet'!E16,F16:G20,2,FALSE),"0")</f>
        <v>0</v>
      </c>
    </row>
    <row r="17" spans="1:10" s="7" customFormat="1" x14ac:dyDescent="0.3">
      <c r="A17" s="227"/>
      <c r="B17" s="226"/>
      <c r="C17" s="7" t="s">
        <v>452</v>
      </c>
      <c r="D17" s="7" t="s">
        <v>80</v>
      </c>
      <c r="E17" s="7" t="s">
        <v>58</v>
      </c>
      <c r="F17" s="7" t="s">
        <v>79</v>
      </c>
      <c r="G17" s="11">
        <v>3</v>
      </c>
      <c r="H17" s="7" t="s">
        <v>450</v>
      </c>
      <c r="I17" s="18" t="str">
        <f>IFERROR(VLOOKUP('Answer Sheet'!F16,F17:G21,2,FALSE),"0")</f>
        <v>0</v>
      </c>
    </row>
    <row r="18" spans="1:10" s="7" customFormat="1" x14ac:dyDescent="0.3">
      <c r="A18" s="227"/>
      <c r="B18" s="226"/>
      <c r="C18" s="7" t="s">
        <v>456</v>
      </c>
      <c r="D18" s="7" t="s">
        <v>80</v>
      </c>
      <c r="E18" s="7" t="s">
        <v>58</v>
      </c>
      <c r="F18" s="7" t="s">
        <v>47</v>
      </c>
      <c r="G18" s="11">
        <v>3</v>
      </c>
      <c r="H18" s="7" t="s">
        <v>397</v>
      </c>
      <c r="I18" s="18" t="str">
        <f>IFERROR(VLOOKUP('Answer Sheet'!G16,F18:G22,2,FALSE),"0")</f>
        <v>0</v>
      </c>
    </row>
    <row r="19" spans="1:10" s="7" customFormat="1" x14ac:dyDescent="0.3">
      <c r="C19" s="7" t="s">
        <v>453</v>
      </c>
      <c r="D19" s="7" t="s">
        <v>80</v>
      </c>
      <c r="E19" s="7" t="s">
        <v>58</v>
      </c>
      <c r="F19" s="7" t="s">
        <v>48</v>
      </c>
      <c r="G19" s="11">
        <v>3</v>
      </c>
      <c r="H19" s="7" t="s">
        <v>458</v>
      </c>
      <c r="I19" s="18" t="str">
        <f>IFERROR(VLOOKUP('Answer Sheet'!H16,F19:G23,2,FALSE),"0")</f>
        <v>0</v>
      </c>
    </row>
    <row r="20" spans="1:10" s="7" customFormat="1" x14ac:dyDescent="0.3">
      <c r="C20" s="7" t="s">
        <v>454</v>
      </c>
      <c r="D20" s="7" t="s">
        <v>80</v>
      </c>
      <c r="E20" s="7" t="s">
        <v>58</v>
      </c>
      <c r="F20" s="7" t="s">
        <v>457</v>
      </c>
      <c r="G20" s="11">
        <v>3</v>
      </c>
      <c r="H20" s="7" t="s">
        <v>459</v>
      </c>
      <c r="I20" s="18"/>
    </row>
    <row r="21" spans="1:10" x14ac:dyDescent="0.3">
      <c r="A21" s="7"/>
      <c r="B21" s="7"/>
      <c r="C21" s="7"/>
      <c r="D21" s="7"/>
      <c r="E21" s="7"/>
      <c r="F21" s="7"/>
      <c r="G21" s="7"/>
      <c r="I21" s="18"/>
    </row>
    <row r="22" spans="1:10" x14ac:dyDescent="0.3">
      <c r="A22" s="166" t="s">
        <v>82</v>
      </c>
      <c r="B22" s="168" t="s">
        <v>83</v>
      </c>
      <c r="C22" s="7" t="s">
        <v>65</v>
      </c>
      <c r="D22" s="7" t="s">
        <v>53</v>
      </c>
      <c r="E22" s="7" t="s">
        <v>54</v>
      </c>
      <c r="F22" s="7" t="s">
        <v>49</v>
      </c>
      <c r="G22" s="9">
        <v>1</v>
      </c>
      <c r="I22" s="18"/>
    </row>
    <row r="23" spans="1:10" x14ac:dyDescent="0.3">
      <c r="A23" s="166"/>
      <c r="B23" s="168"/>
      <c r="C23" s="7" t="s">
        <v>84</v>
      </c>
      <c r="D23" s="7" t="s">
        <v>71</v>
      </c>
      <c r="E23" s="7" t="s">
        <v>58</v>
      </c>
      <c r="F23" s="7" t="s">
        <v>85</v>
      </c>
      <c r="G23" s="11">
        <v>3</v>
      </c>
      <c r="H23" t="s">
        <v>400</v>
      </c>
      <c r="I23" s="18">
        <f>IFERROR(VLOOKUP('Answer Sheet'!E17,'Matrix - Part 2'!F22:G24,2,FALSE),0)</f>
        <v>0</v>
      </c>
    </row>
    <row r="24" spans="1:10" x14ac:dyDescent="0.3">
      <c r="A24" s="166"/>
      <c r="B24" s="168"/>
      <c r="C24" s="7" t="s">
        <v>86</v>
      </c>
      <c r="D24" s="7" t="s">
        <v>60</v>
      </c>
      <c r="E24" s="7" t="s">
        <v>87</v>
      </c>
      <c r="F24" s="7" t="s">
        <v>88</v>
      </c>
      <c r="G24" s="8">
        <v>4</v>
      </c>
      <c r="H24" t="s">
        <v>399</v>
      </c>
      <c r="I24" s="18"/>
    </row>
    <row r="25" spans="1:10" x14ac:dyDescent="0.3">
      <c r="I25" s="19"/>
    </row>
    <row r="26" spans="1:10" x14ac:dyDescent="0.3">
      <c r="I26" s="18">
        <f>SUM(I5:I24)</f>
        <v>0</v>
      </c>
    </row>
    <row r="27" spans="1:10" x14ac:dyDescent="0.3">
      <c r="I27" s="18">
        <f>COUNTIF(I5:I24,"&gt;0.9")</f>
        <v>0</v>
      </c>
    </row>
    <row r="28" spans="1:10" x14ac:dyDescent="0.3">
      <c r="H28" s="13" t="s">
        <v>91</v>
      </c>
      <c r="I28" s="18">
        <f>IFERROR(ROUND(I26/I27,1),0)</f>
        <v>0</v>
      </c>
    </row>
    <row r="30" spans="1:10" x14ac:dyDescent="0.3">
      <c r="A30" s="225" t="s">
        <v>96</v>
      </c>
      <c r="B30" s="225"/>
      <c r="C30" s="225"/>
      <c r="D30" s="225"/>
      <c r="E30" s="225"/>
      <c r="F30" s="225"/>
      <c r="G30" s="225"/>
      <c r="H30" s="225"/>
      <c r="I30" s="225"/>
      <c r="J30" s="225"/>
    </row>
    <row r="32" spans="1:10" x14ac:dyDescent="0.3">
      <c r="A32" s="1" t="s">
        <v>94</v>
      </c>
      <c r="B32" s="14" t="s">
        <v>95</v>
      </c>
      <c r="C32" s="14"/>
      <c r="D32" s="14"/>
      <c r="E32" s="14"/>
      <c r="F32" s="14"/>
      <c r="G32" s="14"/>
      <c r="H32" s="14"/>
      <c r="I32" s="14"/>
      <c r="J32" s="14"/>
    </row>
    <row r="33" spans="1:9" x14ac:dyDescent="0.3">
      <c r="A33" s="15">
        <v>1</v>
      </c>
      <c r="B33" t="s">
        <v>102</v>
      </c>
    </row>
    <row r="34" spans="1:9" x14ac:dyDescent="0.3">
      <c r="A34" s="15">
        <v>1.2</v>
      </c>
      <c r="B34" t="s">
        <v>102</v>
      </c>
      <c r="I34" s="7"/>
    </row>
    <row r="35" spans="1:9" x14ac:dyDescent="0.3">
      <c r="A35" s="15">
        <v>1.3</v>
      </c>
      <c r="B35" t="s">
        <v>102</v>
      </c>
    </row>
    <row r="36" spans="1:9" x14ac:dyDescent="0.3">
      <c r="A36" s="15">
        <v>1.4</v>
      </c>
      <c r="B36" t="s">
        <v>102</v>
      </c>
    </row>
    <row r="37" spans="1:9" x14ac:dyDescent="0.3">
      <c r="A37" s="17">
        <v>1.5</v>
      </c>
      <c r="B37" t="s">
        <v>103</v>
      </c>
    </row>
    <row r="38" spans="1:9" x14ac:dyDescent="0.3">
      <c r="A38" s="17">
        <v>1.6</v>
      </c>
      <c r="B38" t="s">
        <v>103</v>
      </c>
    </row>
    <row r="39" spans="1:9" x14ac:dyDescent="0.3">
      <c r="A39" s="17">
        <v>1.7</v>
      </c>
      <c r="B39" t="s">
        <v>103</v>
      </c>
    </row>
    <row r="40" spans="1:9" x14ac:dyDescent="0.3">
      <c r="A40" s="17">
        <v>1.8</v>
      </c>
      <c r="B40" t="s">
        <v>103</v>
      </c>
    </row>
    <row r="41" spans="1:9" x14ac:dyDescent="0.3">
      <c r="A41" s="17">
        <v>1.9</v>
      </c>
      <c r="B41" t="s">
        <v>103</v>
      </c>
    </row>
    <row r="42" spans="1:9" x14ac:dyDescent="0.3">
      <c r="A42" s="17">
        <v>2</v>
      </c>
      <c r="B42" t="s">
        <v>103</v>
      </c>
    </row>
    <row r="43" spans="1:9" x14ac:dyDescent="0.3">
      <c r="A43" s="17">
        <v>2.1</v>
      </c>
      <c r="B43" t="s">
        <v>103</v>
      </c>
    </row>
    <row r="44" spans="1:9" x14ac:dyDescent="0.3">
      <c r="A44" s="17">
        <v>2.2000000000000002</v>
      </c>
      <c r="B44" t="s">
        <v>103</v>
      </c>
    </row>
    <row r="45" spans="1:9" x14ac:dyDescent="0.3">
      <c r="A45" s="17">
        <v>2.2999999999999998</v>
      </c>
      <c r="B45" t="s">
        <v>103</v>
      </c>
    </row>
    <row r="46" spans="1:9" x14ac:dyDescent="0.3">
      <c r="A46" s="11">
        <v>2.4</v>
      </c>
      <c r="B46" t="s">
        <v>104</v>
      </c>
    </row>
    <row r="47" spans="1:9" x14ac:dyDescent="0.3">
      <c r="A47" s="11">
        <v>2.5</v>
      </c>
      <c r="B47" t="s">
        <v>104</v>
      </c>
    </row>
    <row r="48" spans="1:9" x14ac:dyDescent="0.3">
      <c r="A48" s="11">
        <v>2.6</v>
      </c>
      <c r="B48" t="s">
        <v>104</v>
      </c>
    </row>
    <row r="49" spans="1:5" x14ac:dyDescent="0.3">
      <c r="A49" s="11">
        <v>2.7</v>
      </c>
      <c r="B49" t="s">
        <v>104</v>
      </c>
    </row>
    <row r="50" spans="1:5" x14ac:dyDescent="0.3">
      <c r="A50" s="11">
        <v>2.8</v>
      </c>
      <c r="B50" t="s">
        <v>104</v>
      </c>
    </row>
    <row r="51" spans="1:5" x14ac:dyDescent="0.3">
      <c r="A51" s="11">
        <v>2.9</v>
      </c>
      <c r="B51" t="s">
        <v>104</v>
      </c>
    </row>
    <row r="52" spans="1:5" x14ac:dyDescent="0.3">
      <c r="A52" s="11">
        <v>3</v>
      </c>
      <c r="B52" t="s">
        <v>104</v>
      </c>
    </row>
    <row r="53" spans="1:5" x14ac:dyDescent="0.3">
      <c r="A53" s="11">
        <v>3.1</v>
      </c>
      <c r="B53" t="s">
        <v>104</v>
      </c>
    </row>
    <row r="54" spans="1:5" x14ac:dyDescent="0.3">
      <c r="A54" s="11">
        <v>3.2</v>
      </c>
      <c r="B54" t="s">
        <v>104</v>
      </c>
    </row>
    <row r="55" spans="1:5" x14ac:dyDescent="0.3">
      <c r="A55" s="11">
        <v>3.3</v>
      </c>
      <c r="B55" t="s">
        <v>104</v>
      </c>
    </row>
    <row r="56" spans="1:5" x14ac:dyDescent="0.3">
      <c r="A56" s="11">
        <v>3.4</v>
      </c>
      <c r="B56" s="7" t="s">
        <v>104</v>
      </c>
      <c r="C56" s="7"/>
      <c r="D56" s="7"/>
      <c r="E56" s="7"/>
    </row>
    <row r="57" spans="1:5" x14ac:dyDescent="0.3">
      <c r="A57" s="16">
        <v>3.5</v>
      </c>
      <c r="B57" t="s">
        <v>105</v>
      </c>
    </row>
    <row r="58" spans="1:5" x14ac:dyDescent="0.3">
      <c r="A58" s="16">
        <v>3.6</v>
      </c>
      <c r="B58" t="s">
        <v>105</v>
      </c>
    </row>
    <row r="59" spans="1:5" x14ac:dyDescent="0.3">
      <c r="A59" s="16">
        <v>3.7</v>
      </c>
      <c r="B59" t="s">
        <v>105</v>
      </c>
    </row>
    <row r="60" spans="1:5" x14ac:dyDescent="0.3">
      <c r="A60" s="16">
        <v>3.8</v>
      </c>
      <c r="B60" t="s">
        <v>105</v>
      </c>
    </row>
    <row r="61" spans="1:5" x14ac:dyDescent="0.3">
      <c r="A61" s="16">
        <v>3.9</v>
      </c>
      <c r="B61" t="s">
        <v>105</v>
      </c>
    </row>
    <row r="62" spans="1:5" x14ac:dyDescent="0.3">
      <c r="A62" s="16">
        <v>4</v>
      </c>
      <c r="B62" t="s">
        <v>105</v>
      </c>
    </row>
  </sheetData>
  <mergeCells count="10">
    <mergeCell ref="A22:A24"/>
    <mergeCell ref="B22:B24"/>
    <mergeCell ref="A1:J1"/>
    <mergeCell ref="A30:J30"/>
    <mergeCell ref="B4:B6"/>
    <mergeCell ref="B9:B12"/>
    <mergeCell ref="A4:A6"/>
    <mergeCell ref="A9:A12"/>
    <mergeCell ref="A16:A18"/>
    <mergeCell ref="B16:B18"/>
  </mergeCell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23"/>
  <sheetViews>
    <sheetView workbookViewId="0">
      <selection activeCell="B21" sqref="B21"/>
    </sheetView>
  </sheetViews>
  <sheetFormatPr defaultRowHeight="14.4" x14ac:dyDescent="0.3"/>
  <sheetData>
    <row r="1" spans="1:13" x14ac:dyDescent="0.3">
      <c r="A1" t="s">
        <v>389</v>
      </c>
    </row>
    <row r="2" spans="1:13" x14ac:dyDescent="0.3">
      <c r="A2" t="s">
        <v>390</v>
      </c>
    </row>
    <row r="3" spans="1:13" x14ac:dyDescent="0.3">
      <c r="A3" t="s">
        <v>391</v>
      </c>
    </row>
    <row r="4" spans="1:13" x14ac:dyDescent="0.3">
      <c r="A4" t="s">
        <v>393</v>
      </c>
    </row>
    <row r="5" spans="1:13" x14ac:dyDescent="0.3">
      <c r="A5" t="s">
        <v>395</v>
      </c>
    </row>
    <row r="6" spans="1:13" x14ac:dyDescent="0.3">
      <c r="A6" t="s">
        <v>396</v>
      </c>
    </row>
    <row r="7" spans="1:13" x14ac:dyDescent="0.3">
      <c r="A7" t="s">
        <v>398</v>
      </c>
    </row>
    <row r="8" spans="1:13" x14ac:dyDescent="0.3">
      <c r="A8" t="s">
        <v>401</v>
      </c>
    </row>
    <row r="9" spans="1:13" s="7" customFormat="1" x14ac:dyDescent="0.3"/>
    <row r="10" spans="1:13" s="7" customFormat="1" x14ac:dyDescent="0.3">
      <c r="A10" s="169" t="s">
        <v>40</v>
      </c>
      <c r="B10" s="169"/>
      <c r="C10" s="169"/>
      <c r="D10" s="169"/>
      <c r="E10" s="169"/>
      <c r="F10" s="169"/>
      <c r="G10" s="169"/>
      <c r="H10" s="169"/>
      <c r="I10" s="169"/>
      <c r="J10" s="169"/>
      <c r="K10" s="169"/>
      <c r="L10" s="169"/>
      <c r="M10" s="169"/>
    </row>
    <row r="11" spans="1:13" x14ac:dyDescent="0.3">
      <c r="A11" t="s">
        <v>403</v>
      </c>
    </row>
    <row r="12" spans="1:13" x14ac:dyDescent="0.3">
      <c r="A12" t="s">
        <v>406</v>
      </c>
    </row>
    <row r="13" spans="1:13" x14ac:dyDescent="0.3">
      <c r="A13" t="s">
        <v>405</v>
      </c>
    </row>
    <row r="14" spans="1:13" x14ac:dyDescent="0.3">
      <c r="A14" t="s">
        <v>407</v>
      </c>
    </row>
    <row r="15" spans="1:13" x14ac:dyDescent="0.3">
      <c r="A15" t="s">
        <v>411</v>
      </c>
    </row>
    <row r="16" spans="1:13" x14ac:dyDescent="0.3">
      <c r="A16" t="s">
        <v>412</v>
      </c>
    </row>
    <row r="17" spans="1:13" s="7" customFormat="1" x14ac:dyDescent="0.3"/>
    <row r="18" spans="1:13" s="7" customFormat="1" x14ac:dyDescent="0.3">
      <c r="A18" s="169" t="s">
        <v>44</v>
      </c>
      <c r="B18" s="169"/>
      <c r="C18" s="169"/>
      <c r="D18" s="169"/>
      <c r="E18" s="169"/>
      <c r="F18" s="169"/>
      <c r="G18" s="169"/>
      <c r="H18" s="169"/>
      <c r="I18" s="169"/>
      <c r="J18" s="169"/>
      <c r="K18" s="169"/>
      <c r="L18" s="169"/>
      <c r="M18" s="169"/>
    </row>
    <row r="19" spans="1:13" x14ac:dyDescent="0.3">
      <c r="A19" t="s">
        <v>415</v>
      </c>
    </row>
    <row r="20" spans="1:13" x14ac:dyDescent="0.3">
      <c r="A20" t="s">
        <v>443</v>
      </c>
    </row>
    <row r="21" spans="1:13" x14ac:dyDescent="0.3">
      <c r="A21" t="s">
        <v>444</v>
      </c>
    </row>
    <row r="22" spans="1:13" x14ac:dyDescent="0.3">
      <c r="A22" t="s">
        <v>426</v>
      </c>
    </row>
    <row r="23" spans="1:13" x14ac:dyDescent="0.3">
      <c r="A23" t="s">
        <v>429</v>
      </c>
    </row>
  </sheetData>
  <mergeCells count="2">
    <mergeCell ref="A10:M10"/>
    <mergeCell ref="A18:M18"/>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38"/>
  <sheetViews>
    <sheetView showRuler="0" view="pageLayout" zoomScale="60" zoomScaleNormal="100" zoomScalePageLayoutView="60" workbookViewId="0">
      <selection activeCell="J11" sqref="J11:M33"/>
    </sheetView>
  </sheetViews>
  <sheetFormatPr defaultRowHeight="14.4" x14ac:dyDescent="0.3"/>
  <cols>
    <col min="2" max="2" width="8.77734375" customWidth="1"/>
  </cols>
  <sheetData>
    <row r="1" spans="1:14" s="7" customFormat="1" ht="23.4" x14ac:dyDescent="0.45">
      <c r="A1" s="41"/>
      <c r="B1" s="41"/>
      <c r="C1" s="41"/>
      <c r="D1" s="41"/>
      <c r="E1" s="41"/>
      <c r="F1" s="41"/>
      <c r="G1" s="41"/>
      <c r="H1" s="194" t="s">
        <v>174</v>
      </c>
      <c r="I1" s="196"/>
      <c r="J1" s="196"/>
      <c r="K1" s="196"/>
      <c r="L1" s="196"/>
      <c r="M1" s="196"/>
      <c r="N1" s="41"/>
    </row>
    <row r="2" spans="1:14" ht="14.55" customHeight="1" x14ac:dyDescent="0.3">
      <c r="A2" s="42"/>
      <c r="B2" s="42"/>
      <c r="C2" s="42"/>
      <c r="D2" s="42"/>
      <c r="E2" s="42"/>
      <c r="F2" s="42"/>
      <c r="G2" s="42"/>
      <c r="H2" s="196"/>
      <c r="I2" s="196"/>
      <c r="J2" s="196"/>
      <c r="K2" s="196"/>
      <c r="L2" s="196"/>
      <c r="M2" s="196"/>
      <c r="N2" s="42"/>
    </row>
    <row r="3" spans="1:14" ht="14.55" customHeight="1" x14ac:dyDescent="0.3">
      <c r="A3" s="42"/>
      <c r="B3" s="42"/>
      <c r="C3" s="42"/>
      <c r="D3" s="42"/>
      <c r="E3" s="42"/>
      <c r="F3" s="42"/>
      <c r="G3" s="42"/>
      <c r="H3" s="196"/>
      <c r="I3" s="196"/>
      <c r="J3" s="196"/>
      <c r="K3" s="196"/>
      <c r="L3" s="196"/>
      <c r="M3" s="196"/>
      <c r="N3" s="42"/>
    </row>
    <row r="4" spans="1:14" x14ac:dyDescent="0.3">
      <c r="A4" s="14"/>
      <c r="B4" s="14"/>
      <c r="C4" s="14"/>
      <c r="D4" s="14"/>
      <c r="E4" s="14"/>
      <c r="G4" s="14"/>
      <c r="H4" s="14"/>
      <c r="I4" s="14"/>
      <c r="J4" s="14"/>
      <c r="K4" s="14"/>
      <c r="L4" s="14"/>
      <c r="M4" s="14"/>
      <c r="N4" s="14"/>
    </row>
    <row r="5" spans="1:14" ht="14.55" customHeight="1" x14ac:dyDescent="0.3">
      <c r="B5" s="195" t="s">
        <v>170</v>
      </c>
      <c r="C5" s="195"/>
      <c r="D5" s="195"/>
      <c r="E5" s="162" t="s">
        <v>171</v>
      </c>
      <c r="F5" s="162"/>
      <c r="G5" s="162"/>
      <c r="H5" s="162"/>
      <c r="I5" s="162"/>
      <c r="J5" s="162"/>
      <c r="K5" s="162"/>
      <c r="L5" s="162"/>
      <c r="M5" s="162"/>
      <c r="N5" s="14"/>
    </row>
    <row r="6" spans="1:14" ht="14.55" customHeight="1" x14ac:dyDescent="0.3">
      <c r="A6" s="32"/>
      <c r="B6" s="180">
        <f>'Matrix - Part 2'!I28</f>
        <v>0</v>
      </c>
      <c r="C6" s="180"/>
      <c r="D6" s="180"/>
      <c r="E6" s="181" t="e">
        <f>VLOOKUP(B6,'Matrix - Part 2'!A33:B62,2,FALSE)</f>
        <v>#N/A</v>
      </c>
      <c r="F6" s="181"/>
      <c r="G6" s="181"/>
      <c r="H6" s="181"/>
      <c r="I6" s="181"/>
      <c r="J6" s="181"/>
      <c r="K6" s="181"/>
      <c r="L6" s="181"/>
      <c r="M6" s="181"/>
      <c r="N6" s="14"/>
    </row>
    <row r="7" spans="1:14" ht="14.55" customHeight="1" x14ac:dyDescent="0.3">
      <c r="A7" s="32"/>
      <c r="B7" s="180"/>
      <c r="C7" s="180"/>
      <c r="D7" s="180"/>
      <c r="E7" s="181"/>
      <c r="F7" s="181"/>
      <c r="G7" s="181"/>
      <c r="H7" s="181"/>
      <c r="I7" s="181"/>
      <c r="J7" s="181"/>
      <c r="K7" s="181"/>
      <c r="L7" s="181"/>
      <c r="M7" s="181"/>
      <c r="N7" s="14"/>
    </row>
    <row r="8" spans="1:14" ht="14.55" customHeight="1" x14ac:dyDescent="0.3">
      <c r="A8" s="32"/>
      <c r="B8" s="180"/>
      <c r="C8" s="180"/>
      <c r="D8" s="180"/>
      <c r="E8" s="181"/>
      <c r="F8" s="181"/>
      <c r="G8" s="181"/>
      <c r="H8" s="181"/>
      <c r="I8" s="181"/>
      <c r="J8" s="181"/>
      <c r="K8" s="181"/>
      <c r="L8" s="181"/>
      <c r="M8" s="181"/>
      <c r="N8" s="14"/>
    </row>
    <row r="9" spans="1:14" ht="14.55" customHeight="1" x14ac:dyDescent="0.3">
      <c r="A9" s="32"/>
      <c r="B9" s="45"/>
      <c r="C9" s="45"/>
      <c r="D9" s="45"/>
      <c r="E9" s="46"/>
      <c r="F9" s="46"/>
      <c r="G9" s="46"/>
      <c r="H9" s="46"/>
      <c r="I9" s="46"/>
      <c r="J9" s="46"/>
      <c r="K9" s="46"/>
      <c r="L9" s="46"/>
      <c r="M9" s="46"/>
      <c r="N9" s="14"/>
    </row>
    <row r="10" spans="1:14" ht="14.55" customHeight="1" thickBot="1" x14ac:dyDescent="0.35">
      <c r="A10" s="32"/>
      <c r="B10" s="177" t="s">
        <v>144</v>
      </c>
      <c r="C10" s="177"/>
      <c r="D10" s="177"/>
      <c r="E10" s="177"/>
      <c r="F10" s="178" t="s">
        <v>143</v>
      </c>
      <c r="G10" s="178"/>
      <c r="H10" s="178"/>
      <c r="I10" s="178"/>
      <c r="J10" s="179" t="s">
        <v>176</v>
      </c>
      <c r="K10" s="179"/>
      <c r="L10" s="179"/>
      <c r="M10" s="179"/>
      <c r="N10" s="14"/>
    </row>
    <row r="11" spans="1:14" ht="15" customHeight="1" x14ac:dyDescent="0.3">
      <c r="B11" s="228" t="str">
        <f>IFERROR(VLOOKUP('Matrix - Part 2'!I5,'Matrix - Part 2'!G6:H6,2,FALSE),"")&amp;CHAR(10)&amp;""&amp;CHAR(10)&amp;IFERROR(VLOOKUP('Matrix - Part 2'!I10,'Matrix - Part 2'!G12:H12,2,FALSE),"")&amp;CHAR(10)&amp;""&amp;CHAR(10)&amp;IFERROR(VLOOKUP('Matrix - Part 2'!#REF!,'Matrix - Part 2'!#REF!,2,FALSE),"")&amp;CHAR(10)&amp;""&amp;CHAR(10)&amp;IFERROR(VLOOKUP('Matrix - Part 2'!I16,'Matrix - Part 2'!G18:H18,2,FALSE),"")&amp;CHAR(10)&amp;""&amp;IFERROR(VLOOKUP('Matrix - Part 2'!I23,'Matrix - Part 2'!G24:H24,2,FALSE),"")</f>
        <v xml:space="preserve">
</v>
      </c>
      <c r="C11" s="229"/>
      <c r="D11" s="229"/>
      <c r="E11" s="230"/>
      <c r="F11" s="228" t="str">
        <f>IFERROR(VLOOKUP('Matrix - Part 2'!I10,'Matrix - Part 2'!G11:H11,2,FALSE),"")&amp;CHAR(10)&amp;""&amp;CHAR(10)&amp;IFERROR(VLOOKUP('Matrix - Part 2'!#REF!,'Matrix - Part 2'!#REF!,2,FALSE),"")&amp;CHAR(10)&amp;""&amp;CHAR(10)&amp;IFERROR(VLOOKUP('Matrix - Part 2'!I16,'Matrix - Part 2'!G17:H17,2,FALSE),"")&amp;CHAR(10)&amp;""&amp;CHAR(10)&amp;IFERROR(VLOOKUP('Matrix - Part 2'!I23,'Matrix - Part 2'!G23:H23,2,FALSE),"")</f>
        <v xml:space="preserve">
</v>
      </c>
      <c r="G11" s="229"/>
      <c r="H11" s="229"/>
      <c r="I11" s="230"/>
      <c r="J11" s="228" t="str">
        <f>IFERROR(VLOOKUP('Matrix - Part 2'!I5,'Matrix - Part 2'!G5:H5,2,FALSE),"")</f>
        <v/>
      </c>
      <c r="K11" s="229"/>
      <c r="L11" s="229"/>
      <c r="M11" s="230"/>
      <c r="N11" s="5"/>
    </row>
    <row r="12" spans="1:14" x14ac:dyDescent="0.3">
      <c r="B12" s="231"/>
      <c r="C12" s="232"/>
      <c r="D12" s="232"/>
      <c r="E12" s="233"/>
      <c r="F12" s="231"/>
      <c r="G12" s="232"/>
      <c r="H12" s="232"/>
      <c r="I12" s="233"/>
      <c r="J12" s="231"/>
      <c r="K12" s="232"/>
      <c r="L12" s="232"/>
      <c r="M12" s="233"/>
      <c r="N12" s="5"/>
    </row>
    <row r="13" spans="1:14" x14ac:dyDescent="0.3">
      <c r="B13" s="231"/>
      <c r="C13" s="232"/>
      <c r="D13" s="232"/>
      <c r="E13" s="233"/>
      <c r="F13" s="231"/>
      <c r="G13" s="232"/>
      <c r="H13" s="232"/>
      <c r="I13" s="233"/>
      <c r="J13" s="231"/>
      <c r="K13" s="232"/>
      <c r="L13" s="232"/>
      <c r="M13" s="233"/>
      <c r="N13" s="5"/>
    </row>
    <row r="14" spans="1:14" x14ac:dyDescent="0.3">
      <c r="B14" s="231"/>
      <c r="C14" s="232"/>
      <c r="D14" s="232"/>
      <c r="E14" s="233"/>
      <c r="F14" s="231"/>
      <c r="G14" s="232"/>
      <c r="H14" s="232"/>
      <c r="I14" s="233"/>
      <c r="J14" s="231"/>
      <c r="K14" s="232"/>
      <c r="L14" s="232"/>
      <c r="M14" s="233"/>
      <c r="N14" s="5"/>
    </row>
    <row r="15" spans="1:14" x14ac:dyDescent="0.3">
      <c r="B15" s="231"/>
      <c r="C15" s="232"/>
      <c r="D15" s="232"/>
      <c r="E15" s="233"/>
      <c r="F15" s="231"/>
      <c r="G15" s="232"/>
      <c r="H15" s="232"/>
      <c r="I15" s="233"/>
      <c r="J15" s="231"/>
      <c r="K15" s="232"/>
      <c r="L15" s="232"/>
      <c r="M15" s="233"/>
      <c r="N15" s="5"/>
    </row>
    <row r="16" spans="1:14" x14ac:dyDescent="0.3">
      <c r="B16" s="231"/>
      <c r="C16" s="232"/>
      <c r="D16" s="232"/>
      <c r="E16" s="233"/>
      <c r="F16" s="231"/>
      <c r="G16" s="232"/>
      <c r="H16" s="232"/>
      <c r="I16" s="233"/>
      <c r="J16" s="231"/>
      <c r="K16" s="232"/>
      <c r="L16" s="232"/>
      <c r="M16" s="233"/>
      <c r="N16" s="5"/>
    </row>
    <row r="17" spans="2:14" x14ac:dyDescent="0.3">
      <c r="B17" s="231"/>
      <c r="C17" s="232"/>
      <c r="D17" s="232"/>
      <c r="E17" s="233"/>
      <c r="F17" s="231"/>
      <c r="G17" s="232"/>
      <c r="H17" s="232"/>
      <c r="I17" s="233"/>
      <c r="J17" s="231"/>
      <c r="K17" s="232"/>
      <c r="L17" s="232"/>
      <c r="M17" s="233"/>
      <c r="N17" s="5"/>
    </row>
    <row r="18" spans="2:14" x14ac:dyDescent="0.3">
      <c r="B18" s="231"/>
      <c r="C18" s="232"/>
      <c r="D18" s="232"/>
      <c r="E18" s="233"/>
      <c r="F18" s="231"/>
      <c r="G18" s="232"/>
      <c r="H18" s="232"/>
      <c r="I18" s="233"/>
      <c r="J18" s="231"/>
      <c r="K18" s="232"/>
      <c r="L18" s="232"/>
      <c r="M18" s="233"/>
      <c r="N18" s="5"/>
    </row>
    <row r="19" spans="2:14" x14ac:dyDescent="0.3">
      <c r="B19" s="231"/>
      <c r="C19" s="232"/>
      <c r="D19" s="232"/>
      <c r="E19" s="233"/>
      <c r="F19" s="231"/>
      <c r="G19" s="232"/>
      <c r="H19" s="232"/>
      <c r="I19" s="233"/>
      <c r="J19" s="231"/>
      <c r="K19" s="232"/>
      <c r="L19" s="232"/>
      <c r="M19" s="233"/>
      <c r="N19" s="5"/>
    </row>
    <row r="20" spans="2:14" x14ac:dyDescent="0.3">
      <c r="B20" s="231"/>
      <c r="C20" s="232"/>
      <c r="D20" s="232"/>
      <c r="E20" s="233"/>
      <c r="F20" s="231"/>
      <c r="G20" s="232"/>
      <c r="H20" s="232"/>
      <c r="I20" s="233"/>
      <c r="J20" s="231"/>
      <c r="K20" s="232"/>
      <c r="L20" s="232"/>
      <c r="M20" s="233"/>
      <c r="N20" s="5"/>
    </row>
    <row r="21" spans="2:14" x14ac:dyDescent="0.3">
      <c r="B21" s="231"/>
      <c r="C21" s="232"/>
      <c r="D21" s="232"/>
      <c r="E21" s="233"/>
      <c r="F21" s="231"/>
      <c r="G21" s="232"/>
      <c r="H21" s="232"/>
      <c r="I21" s="233"/>
      <c r="J21" s="231"/>
      <c r="K21" s="232"/>
      <c r="L21" s="232"/>
      <c r="M21" s="233"/>
      <c r="N21" s="5"/>
    </row>
    <row r="22" spans="2:14" x14ac:dyDescent="0.3">
      <c r="B22" s="231"/>
      <c r="C22" s="232"/>
      <c r="D22" s="232"/>
      <c r="E22" s="233"/>
      <c r="F22" s="231"/>
      <c r="G22" s="232"/>
      <c r="H22" s="232"/>
      <c r="I22" s="233"/>
      <c r="J22" s="231"/>
      <c r="K22" s="232"/>
      <c r="L22" s="232"/>
      <c r="M22" s="233"/>
      <c r="N22" s="5"/>
    </row>
    <row r="23" spans="2:14" x14ac:dyDescent="0.3">
      <c r="B23" s="231"/>
      <c r="C23" s="232"/>
      <c r="D23" s="232"/>
      <c r="E23" s="233"/>
      <c r="F23" s="231"/>
      <c r="G23" s="232"/>
      <c r="H23" s="232"/>
      <c r="I23" s="233"/>
      <c r="J23" s="231"/>
      <c r="K23" s="232"/>
      <c r="L23" s="232"/>
      <c r="M23" s="233"/>
      <c r="N23" s="5"/>
    </row>
    <row r="24" spans="2:14" x14ac:dyDescent="0.3">
      <c r="B24" s="231"/>
      <c r="C24" s="232"/>
      <c r="D24" s="232"/>
      <c r="E24" s="233"/>
      <c r="F24" s="231"/>
      <c r="G24" s="232"/>
      <c r="H24" s="232"/>
      <c r="I24" s="233"/>
      <c r="J24" s="231"/>
      <c r="K24" s="232"/>
      <c r="L24" s="232"/>
      <c r="M24" s="233"/>
      <c r="N24" s="5"/>
    </row>
    <row r="25" spans="2:14" x14ac:dyDescent="0.3">
      <c r="B25" s="231"/>
      <c r="C25" s="232"/>
      <c r="D25" s="232"/>
      <c r="E25" s="233"/>
      <c r="F25" s="231"/>
      <c r="G25" s="232"/>
      <c r="H25" s="232"/>
      <c r="I25" s="233"/>
      <c r="J25" s="231"/>
      <c r="K25" s="232"/>
      <c r="L25" s="232"/>
      <c r="M25" s="233"/>
      <c r="N25" s="5"/>
    </row>
    <row r="26" spans="2:14" x14ac:dyDescent="0.3">
      <c r="B26" s="231"/>
      <c r="C26" s="232"/>
      <c r="D26" s="232"/>
      <c r="E26" s="233"/>
      <c r="F26" s="231"/>
      <c r="G26" s="232"/>
      <c r="H26" s="232"/>
      <c r="I26" s="233"/>
      <c r="J26" s="231"/>
      <c r="K26" s="232"/>
      <c r="L26" s="232"/>
      <c r="M26" s="233"/>
      <c r="N26" s="5"/>
    </row>
    <row r="27" spans="2:14" x14ac:dyDescent="0.3">
      <c r="B27" s="231"/>
      <c r="C27" s="232"/>
      <c r="D27" s="232"/>
      <c r="E27" s="233"/>
      <c r="F27" s="231"/>
      <c r="G27" s="232"/>
      <c r="H27" s="232"/>
      <c r="I27" s="233"/>
      <c r="J27" s="231"/>
      <c r="K27" s="232"/>
      <c r="L27" s="232"/>
      <c r="M27" s="233"/>
      <c r="N27" s="5"/>
    </row>
    <row r="28" spans="2:14" x14ac:dyDescent="0.3">
      <c r="B28" s="231"/>
      <c r="C28" s="232"/>
      <c r="D28" s="232"/>
      <c r="E28" s="233"/>
      <c r="F28" s="231"/>
      <c r="G28" s="232"/>
      <c r="H28" s="232"/>
      <c r="I28" s="233"/>
      <c r="J28" s="231"/>
      <c r="K28" s="232"/>
      <c r="L28" s="232"/>
      <c r="M28" s="233"/>
      <c r="N28" s="5"/>
    </row>
    <row r="29" spans="2:14" x14ac:dyDescent="0.3">
      <c r="B29" s="231"/>
      <c r="C29" s="232"/>
      <c r="D29" s="232"/>
      <c r="E29" s="233"/>
      <c r="F29" s="231"/>
      <c r="G29" s="232"/>
      <c r="H29" s="232"/>
      <c r="I29" s="233"/>
      <c r="J29" s="231"/>
      <c r="K29" s="232"/>
      <c r="L29" s="232"/>
      <c r="M29" s="233"/>
      <c r="N29" s="5"/>
    </row>
    <row r="30" spans="2:14" x14ac:dyDescent="0.3">
      <c r="B30" s="231"/>
      <c r="C30" s="232"/>
      <c r="D30" s="232"/>
      <c r="E30" s="233"/>
      <c r="F30" s="231"/>
      <c r="G30" s="232"/>
      <c r="H30" s="232"/>
      <c r="I30" s="233"/>
      <c r="J30" s="231"/>
      <c r="K30" s="232"/>
      <c r="L30" s="232"/>
      <c r="M30" s="233"/>
      <c r="N30" s="5"/>
    </row>
    <row r="31" spans="2:14" x14ac:dyDescent="0.3">
      <c r="B31" s="231"/>
      <c r="C31" s="232"/>
      <c r="D31" s="232"/>
      <c r="E31" s="233"/>
      <c r="F31" s="231"/>
      <c r="G31" s="232"/>
      <c r="H31" s="232"/>
      <c r="I31" s="233"/>
      <c r="J31" s="231"/>
      <c r="K31" s="232"/>
      <c r="L31" s="232"/>
      <c r="M31" s="233"/>
      <c r="N31" s="5"/>
    </row>
    <row r="32" spans="2:14" x14ac:dyDescent="0.3">
      <c r="B32" s="231"/>
      <c r="C32" s="232"/>
      <c r="D32" s="232"/>
      <c r="E32" s="233"/>
      <c r="F32" s="231"/>
      <c r="G32" s="232"/>
      <c r="H32" s="232"/>
      <c r="I32" s="233"/>
      <c r="J32" s="231"/>
      <c r="K32" s="232"/>
      <c r="L32" s="232"/>
      <c r="M32" s="233"/>
      <c r="N32" s="5"/>
    </row>
    <row r="33" spans="2:14" ht="15" thickBot="1" x14ac:dyDescent="0.35">
      <c r="B33" s="234"/>
      <c r="C33" s="235"/>
      <c r="D33" s="235"/>
      <c r="E33" s="236"/>
      <c r="F33" s="234"/>
      <c r="G33" s="235"/>
      <c r="H33" s="235"/>
      <c r="I33" s="236"/>
      <c r="J33" s="234"/>
      <c r="K33" s="235"/>
      <c r="L33" s="235"/>
      <c r="M33" s="236"/>
      <c r="N33" s="5"/>
    </row>
    <row r="34" spans="2:14" ht="14.55" customHeight="1" x14ac:dyDescent="0.3">
      <c r="B34" s="34"/>
      <c r="C34" s="34"/>
      <c r="D34" s="34"/>
      <c r="E34" s="34"/>
      <c r="F34" s="34"/>
      <c r="G34" s="34"/>
      <c r="H34" s="34"/>
      <c r="I34" s="34"/>
      <c r="J34" s="34"/>
      <c r="K34" s="34"/>
      <c r="L34" s="34"/>
      <c r="M34" s="34"/>
      <c r="N34" s="5"/>
    </row>
    <row r="35" spans="2:14" ht="14.55" customHeight="1" x14ac:dyDescent="0.3">
      <c r="B35" s="34"/>
      <c r="C35" s="34"/>
      <c r="D35" s="34"/>
      <c r="E35" s="34"/>
      <c r="F35" s="34"/>
      <c r="G35" s="34"/>
      <c r="H35" s="34"/>
      <c r="I35" s="34"/>
      <c r="J35" s="34"/>
      <c r="K35" s="34"/>
      <c r="L35" s="34"/>
      <c r="M35" s="34"/>
      <c r="N35" s="5"/>
    </row>
    <row r="36" spans="2:14" ht="14.55" customHeight="1" x14ac:dyDescent="0.3">
      <c r="B36" s="5"/>
      <c r="C36" s="5"/>
      <c r="D36" s="5"/>
      <c r="E36" s="5"/>
      <c r="F36" s="5"/>
      <c r="G36" s="5"/>
    </row>
    <row r="37" spans="2:14" x14ac:dyDescent="0.3">
      <c r="B37" s="5"/>
      <c r="C37" s="5"/>
      <c r="D37" s="5"/>
      <c r="E37" s="5"/>
      <c r="F37" s="5"/>
      <c r="G37" s="5"/>
    </row>
    <row r="38" spans="2:14" x14ac:dyDescent="0.3">
      <c r="B38" s="5"/>
      <c r="C38" s="5"/>
      <c r="D38" s="5"/>
      <c r="E38" s="5"/>
      <c r="F38" s="5"/>
      <c r="G38" s="5"/>
    </row>
  </sheetData>
  <mergeCells count="11">
    <mergeCell ref="B11:E33"/>
    <mergeCell ref="F11:I33"/>
    <mergeCell ref="J11:M33"/>
    <mergeCell ref="B10:E10"/>
    <mergeCell ref="F10:I10"/>
    <mergeCell ref="J10:M10"/>
    <mergeCell ref="E5:M5"/>
    <mergeCell ref="B5:D5"/>
    <mergeCell ref="B6:D8"/>
    <mergeCell ref="E6:M8"/>
    <mergeCell ref="H1:M3"/>
  </mergeCells>
  <conditionalFormatting sqref="B6">
    <cfRule type="cellIs" dxfId="26" priority="1" operator="greaterThan">
      <formula>3.5</formula>
    </cfRule>
    <cfRule type="cellIs" dxfId="25" priority="2" operator="between">
      <formula>2.4</formula>
      <formula>3.4</formula>
    </cfRule>
    <cfRule type="cellIs" dxfId="24" priority="3" operator="between">
      <formula>1.5</formula>
      <formula>2.3</formula>
    </cfRule>
    <cfRule type="cellIs" dxfId="23" priority="4" operator="lessThanOrEqual">
      <formula>1.4</formula>
    </cfRule>
  </conditionalFormatting>
  <pageMargins left="0.7" right="0.7" top="0.75" bottom="0.75" header="0.3" footer="0.3"/>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37"/>
  <sheetViews>
    <sheetView showGridLines="0" zoomScale="80" zoomScaleNormal="80" zoomScalePageLayoutView="60" workbookViewId="0">
      <selection activeCell="D25" sqref="D25:M32"/>
    </sheetView>
  </sheetViews>
  <sheetFormatPr defaultRowHeight="14.4" x14ac:dyDescent="0.3"/>
  <cols>
    <col min="1" max="1" width="8.88671875" customWidth="1"/>
    <col min="3" max="3" width="2.21875" customWidth="1"/>
  </cols>
  <sheetData>
    <row r="1" spans="1:13" x14ac:dyDescent="0.3">
      <c r="A1" s="24"/>
      <c r="B1" s="26"/>
      <c r="C1" s="240" t="s">
        <v>98</v>
      </c>
      <c r="D1" s="240"/>
      <c r="E1" s="240"/>
      <c r="F1" s="240"/>
      <c r="G1" s="240"/>
      <c r="H1" s="240"/>
      <c r="I1" s="240"/>
      <c r="J1" s="240"/>
      <c r="K1" s="240"/>
      <c r="L1" s="240"/>
      <c r="M1" s="240"/>
    </row>
    <row r="2" spans="1:13" ht="4.5" customHeight="1" x14ac:dyDescent="0.3">
      <c r="A2" s="25"/>
      <c r="B2" s="26"/>
      <c r="C2" s="240"/>
      <c r="D2" s="240"/>
      <c r="E2" s="240"/>
      <c r="F2" s="240"/>
      <c r="G2" s="240"/>
      <c r="H2" s="240"/>
      <c r="I2" s="240"/>
      <c r="J2" s="240"/>
      <c r="K2" s="240"/>
      <c r="L2" s="240"/>
      <c r="M2" s="240"/>
    </row>
    <row r="3" spans="1:13" ht="14.55" customHeight="1" x14ac:dyDescent="0.3">
      <c r="A3" s="237" t="s">
        <v>141</v>
      </c>
      <c r="B3" s="26"/>
      <c r="C3" s="240" t="s">
        <v>106</v>
      </c>
      <c r="D3" s="240"/>
      <c r="E3" s="240"/>
      <c r="F3" s="240"/>
      <c r="G3" s="240"/>
      <c r="H3" s="240"/>
      <c r="I3" s="240"/>
      <c r="J3" s="240"/>
      <c r="K3" s="240"/>
      <c r="L3" s="240"/>
      <c r="M3" s="240"/>
    </row>
    <row r="4" spans="1:13" s="7" customFormat="1" ht="14.55" customHeight="1" x14ac:dyDescent="0.3">
      <c r="A4" s="237"/>
      <c r="B4" s="26"/>
      <c r="C4" s="28"/>
      <c r="D4" s="28"/>
      <c r="E4" s="28"/>
      <c r="F4" s="28"/>
      <c r="G4" s="30"/>
      <c r="H4" s="28"/>
      <c r="I4" s="28"/>
      <c r="J4" s="28"/>
      <c r="K4" s="28"/>
      <c r="L4" s="28"/>
      <c r="M4" s="28"/>
    </row>
    <row r="5" spans="1:13" ht="14.55" customHeight="1" x14ac:dyDescent="0.3">
      <c r="A5" s="237"/>
      <c r="B5" s="26"/>
      <c r="C5" s="241">
        <f>'Matrix - Part 2'!I28</f>
        <v>0</v>
      </c>
      <c r="D5" s="241"/>
      <c r="E5" s="241"/>
      <c r="F5" s="241"/>
      <c r="G5" s="241"/>
      <c r="H5" s="241"/>
      <c r="I5" s="241"/>
      <c r="J5" s="241"/>
      <c r="K5" s="241"/>
      <c r="L5" s="241"/>
      <c r="M5" s="241"/>
    </row>
    <row r="6" spans="1:13" x14ac:dyDescent="0.3">
      <c r="A6" s="237"/>
      <c r="B6" s="26"/>
      <c r="C6" s="241"/>
      <c r="D6" s="241"/>
      <c r="E6" s="241"/>
      <c r="F6" s="241"/>
      <c r="G6" s="241"/>
      <c r="H6" s="241"/>
      <c r="I6" s="241"/>
      <c r="J6" s="241"/>
      <c r="K6" s="241"/>
      <c r="L6" s="241"/>
      <c r="M6" s="241"/>
    </row>
    <row r="7" spans="1:13" s="7" customFormat="1" ht="20.55" customHeight="1" x14ac:dyDescent="0.3">
      <c r="A7" s="237"/>
      <c r="B7" s="26"/>
      <c r="C7" s="251" t="e">
        <f>VLOOKUP('Report - Part 2'!C5,'Matrix - Part 2'!A33:B62,2,FALSE)</f>
        <v>#N/A</v>
      </c>
      <c r="D7" s="251"/>
      <c r="E7" s="251"/>
      <c r="F7" s="251"/>
      <c r="G7" s="251"/>
      <c r="H7" s="251"/>
      <c r="I7" s="251"/>
      <c r="J7" s="251"/>
      <c r="K7" s="251"/>
      <c r="L7" s="251"/>
      <c r="M7" s="251"/>
    </row>
    <row r="8" spans="1:13" ht="15" thickBot="1" x14ac:dyDescent="0.35">
      <c r="A8" s="237"/>
      <c r="B8" s="26"/>
      <c r="D8" s="27"/>
      <c r="E8" s="27"/>
      <c r="F8" s="27"/>
      <c r="G8" s="27"/>
      <c r="H8" s="27"/>
      <c r="I8" s="27"/>
      <c r="J8" s="27"/>
      <c r="K8" s="27"/>
      <c r="L8" s="27"/>
    </row>
    <row r="9" spans="1:13" ht="14.55" customHeight="1" thickTop="1" x14ac:dyDescent="0.3">
      <c r="A9" s="237"/>
      <c r="B9" s="26"/>
      <c r="C9" s="252" t="s">
        <v>99</v>
      </c>
      <c r="D9" s="242" t="str">
        <f>IFERROR(VLOOKUP('Matrix - Part 2'!I5,'Matrix - Part 2'!G6:H6,2,FALSE),"")&amp;CHAR(10)&amp;""&amp;CHAR(10)&amp;IFERROR(VLOOKUP('Matrix - Part 2'!I10,'Matrix - Part 2'!G12:H12,2,FALSE),"")&amp;CHAR(10)&amp;""&amp;CHAR(10)&amp;IFERROR(VLOOKUP('Matrix - Part 2'!#REF!,'Matrix - Part 2'!#REF!,2,FALSE),"")&amp;CHAR(10)&amp;""&amp;CHAR(10)&amp;IFERROR(VLOOKUP('Matrix - Part 2'!I16,'Matrix - Part 2'!G18:H18,2,FALSE),"")&amp;CHAR(10)&amp;""&amp;CHAR(10)&amp;IFERROR(VLOOKUP('Matrix - Part 2'!I23,'Matrix - Part 2'!G24:H24,2,FALSE),"")</f>
        <v xml:space="preserve">
</v>
      </c>
      <c r="E9" s="243"/>
      <c r="F9" s="243"/>
      <c r="G9" s="243"/>
      <c r="H9" s="243"/>
      <c r="I9" s="243"/>
      <c r="J9" s="243"/>
      <c r="K9" s="243"/>
      <c r="L9" s="243"/>
      <c r="M9" s="244"/>
    </row>
    <row r="10" spans="1:13" x14ac:dyDescent="0.3">
      <c r="A10" s="237"/>
      <c r="B10" s="26"/>
      <c r="C10" s="252"/>
      <c r="D10" s="245"/>
      <c r="E10" s="246"/>
      <c r="F10" s="246"/>
      <c r="G10" s="246"/>
      <c r="H10" s="246"/>
      <c r="I10" s="246"/>
      <c r="J10" s="246"/>
      <c r="K10" s="246"/>
      <c r="L10" s="246"/>
      <c r="M10" s="247"/>
    </row>
    <row r="11" spans="1:13" x14ac:dyDescent="0.3">
      <c r="A11" s="237"/>
      <c r="B11" s="26"/>
      <c r="C11" s="252"/>
      <c r="D11" s="245"/>
      <c r="E11" s="246"/>
      <c r="F11" s="246"/>
      <c r="G11" s="246"/>
      <c r="H11" s="246"/>
      <c r="I11" s="246"/>
      <c r="J11" s="246"/>
      <c r="K11" s="246"/>
      <c r="L11" s="246"/>
      <c r="M11" s="247"/>
    </row>
    <row r="12" spans="1:13" x14ac:dyDescent="0.3">
      <c r="A12" s="237"/>
      <c r="B12" s="26"/>
      <c r="C12" s="252"/>
      <c r="D12" s="245"/>
      <c r="E12" s="246"/>
      <c r="F12" s="246"/>
      <c r="G12" s="246"/>
      <c r="H12" s="246"/>
      <c r="I12" s="246"/>
      <c r="J12" s="246"/>
      <c r="K12" s="246"/>
      <c r="L12" s="246"/>
      <c r="M12" s="247"/>
    </row>
    <row r="13" spans="1:13" x14ac:dyDescent="0.3">
      <c r="A13" s="237"/>
      <c r="B13" s="26"/>
      <c r="C13" s="252"/>
      <c r="D13" s="245"/>
      <c r="E13" s="246"/>
      <c r="F13" s="246"/>
      <c r="G13" s="246"/>
      <c r="H13" s="246"/>
      <c r="I13" s="246"/>
      <c r="J13" s="246"/>
      <c r="K13" s="246"/>
      <c r="L13" s="246"/>
      <c r="M13" s="247"/>
    </row>
    <row r="14" spans="1:13" x14ac:dyDescent="0.3">
      <c r="A14" s="237"/>
      <c r="B14" s="26"/>
      <c r="C14" s="252"/>
      <c r="D14" s="245"/>
      <c r="E14" s="246"/>
      <c r="F14" s="246"/>
      <c r="G14" s="246"/>
      <c r="H14" s="246"/>
      <c r="I14" s="246"/>
      <c r="J14" s="246"/>
      <c r="K14" s="246"/>
      <c r="L14" s="246"/>
      <c r="M14" s="247"/>
    </row>
    <row r="15" spans="1:13" x14ac:dyDescent="0.3">
      <c r="A15" s="237"/>
      <c r="B15" s="26"/>
      <c r="C15" s="252"/>
      <c r="D15" s="245"/>
      <c r="E15" s="246"/>
      <c r="F15" s="246"/>
      <c r="G15" s="246"/>
      <c r="H15" s="246"/>
      <c r="I15" s="246"/>
      <c r="J15" s="246"/>
      <c r="K15" s="246"/>
      <c r="L15" s="246"/>
      <c r="M15" s="247"/>
    </row>
    <row r="16" spans="1:13" ht="75" customHeight="1" thickBot="1" x14ac:dyDescent="0.35">
      <c r="A16" s="237"/>
      <c r="B16" s="26"/>
      <c r="C16" s="252"/>
      <c r="D16" s="248"/>
      <c r="E16" s="249"/>
      <c r="F16" s="249"/>
      <c r="G16" s="249"/>
      <c r="H16" s="249"/>
      <c r="I16" s="249"/>
      <c r="J16" s="249"/>
      <c r="K16" s="249"/>
      <c r="L16" s="249"/>
      <c r="M16" s="250"/>
    </row>
    <row r="17" spans="1:13" ht="15" thickTop="1" x14ac:dyDescent="0.3">
      <c r="A17" s="237"/>
      <c r="B17" s="26"/>
      <c r="C17" s="238" t="s">
        <v>100</v>
      </c>
      <c r="D17" s="242" t="str">
        <f>IFERROR(VLOOKUP('Matrix - Part 2'!I10,'Matrix - Part 2'!G11:H11,2,FALSE),"")&amp;CHAR(10)&amp;""&amp;CHAR(10)&amp;IFERROR(VLOOKUP('Matrix - Part 2'!#REF!,'Matrix - Part 2'!#REF!,2,FALSE),"")&amp;CHAR(10)&amp;""&amp;CHAR(10)&amp;IFERROR(VLOOKUP('Matrix - Part 2'!I16,'Matrix - Part 2'!G17:H17,2,FALSE),"")&amp;CHAR(10)&amp;""&amp;CHAR(10)&amp;IFERROR(VLOOKUP('Matrix - Part 2'!I23,'Matrix - Part 2'!G23:H23,2,FALSE),"")</f>
        <v xml:space="preserve">
</v>
      </c>
      <c r="E17" s="243"/>
      <c r="F17" s="243"/>
      <c r="G17" s="243"/>
      <c r="H17" s="243"/>
      <c r="I17" s="243"/>
      <c r="J17" s="243"/>
      <c r="K17" s="243"/>
      <c r="L17" s="243"/>
      <c r="M17" s="244"/>
    </row>
    <row r="18" spans="1:13" x14ac:dyDescent="0.3">
      <c r="A18" s="237"/>
      <c r="B18" s="26"/>
      <c r="C18" s="238"/>
      <c r="D18" s="245"/>
      <c r="E18" s="246"/>
      <c r="F18" s="246"/>
      <c r="G18" s="246"/>
      <c r="H18" s="246"/>
      <c r="I18" s="246"/>
      <c r="J18" s="246"/>
      <c r="K18" s="246"/>
      <c r="L18" s="246"/>
      <c r="M18" s="247"/>
    </row>
    <row r="19" spans="1:13" x14ac:dyDescent="0.3">
      <c r="A19" s="237"/>
      <c r="B19" s="26"/>
      <c r="C19" s="238"/>
      <c r="D19" s="245"/>
      <c r="E19" s="246"/>
      <c r="F19" s="246"/>
      <c r="G19" s="246"/>
      <c r="H19" s="246"/>
      <c r="I19" s="246"/>
      <c r="J19" s="246"/>
      <c r="K19" s="246"/>
      <c r="L19" s="246"/>
      <c r="M19" s="247"/>
    </row>
    <row r="20" spans="1:13" x14ac:dyDescent="0.3">
      <c r="A20" s="237"/>
      <c r="B20" s="26"/>
      <c r="C20" s="238"/>
      <c r="D20" s="245"/>
      <c r="E20" s="246"/>
      <c r="F20" s="246"/>
      <c r="G20" s="246"/>
      <c r="H20" s="246"/>
      <c r="I20" s="246"/>
      <c r="J20" s="246"/>
      <c r="K20" s="246"/>
      <c r="L20" s="246"/>
      <c r="M20" s="247"/>
    </row>
    <row r="21" spans="1:13" x14ac:dyDescent="0.3">
      <c r="A21" s="237"/>
      <c r="B21" s="26"/>
      <c r="C21" s="238"/>
      <c r="D21" s="245"/>
      <c r="E21" s="246"/>
      <c r="F21" s="246"/>
      <c r="G21" s="246"/>
      <c r="H21" s="246"/>
      <c r="I21" s="246"/>
      <c r="J21" s="246"/>
      <c r="K21" s="246"/>
      <c r="L21" s="246"/>
      <c r="M21" s="247"/>
    </row>
    <row r="22" spans="1:13" x14ac:dyDescent="0.3">
      <c r="A22" s="237"/>
      <c r="B22" s="26"/>
      <c r="C22" s="238"/>
      <c r="D22" s="245"/>
      <c r="E22" s="246"/>
      <c r="F22" s="246"/>
      <c r="G22" s="246"/>
      <c r="H22" s="246"/>
      <c r="I22" s="246"/>
      <c r="J22" s="246"/>
      <c r="K22" s="246"/>
      <c r="L22" s="246"/>
      <c r="M22" s="247"/>
    </row>
    <row r="23" spans="1:13" x14ac:dyDescent="0.3">
      <c r="A23" s="237"/>
      <c r="B23" s="26"/>
      <c r="C23" s="238"/>
      <c r="D23" s="245"/>
      <c r="E23" s="246"/>
      <c r="F23" s="246"/>
      <c r="G23" s="246"/>
      <c r="H23" s="246"/>
      <c r="I23" s="246"/>
      <c r="J23" s="246"/>
      <c r="K23" s="246"/>
      <c r="L23" s="246"/>
      <c r="M23" s="247"/>
    </row>
    <row r="24" spans="1:13" ht="15" thickBot="1" x14ac:dyDescent="0.35">
      <c r="A24" s="25"/>
      <c r="B24" s="26"/>
      <c r="C24" s="238"/>
      <c r="D24" s="248"/>
      <c r="E24" s="249"/>
      <c r="F24" s="249"/>
      <c r="G24" s="249"/>
      <c r="H24" s="249"/>
      <c r="I24" s="249"/>
      <c r="J24" s="249"/>
      <c r="K24" s="249"/>
      <c r="L24" s="249"/>
      <c r="M24" s="250"/>
    </row>
    <row r="25" spans="1:13" ht="15" thickTop="1" x14ac:dyDescent="0.3">
      <c r="A25" s="25"/>
      <c r="B25" s="26"/>
      <c r="C25" s="239" t="s">
        <v>101</v>
      </c>
      <c r="D25" s="242" t="str">
        <f>IFERROR(VLOOKUP('Matrix - Part 2'!I5,'Matrix - Part 2'!G5:H5,2,FALSE),"")</f>
        <v/>
      </c>
      <c r="E25" s="243"/>
      <c r="F25" s="243"/>
      <c r="G25" s="243"/>
      <c r="H25" s="243"/>
      <c r="I25" s="243"/>
      <c r="J25" s="243"/>
      <c r="K25" s="243"/>
      <c r="L25" s="243"/>
      <c r="M25" s="244"/>
    </row>
    <row r="26" spans="1:13" x14ac:dyDescent="0.3">
      <c r="A26" s="25"/>
      <c r="B26" s="26"/>
      <c r="C26" s="239"/>
      <c r="D26" s="245"/>
      <c r="E26" s="246"/>
      <c r="F26" s="246"/>
      <c r="G26" s="246"/>
      <c r="H26" s="246"/>
      <c r="I26" s="246"/>
      <c r="J26" s="246"/>
      <c r="K26" s="246"/>
      <c r="L26" s="246"/>
      <c r="M26" s="247"/>
    </row>
    <row r="27" spans="1:13" x14ac:dyDescent="0.3">
      <c r="A27" s="25"/>
      <c r="B27" s="26"/>
      <c r="C27" s="239"/>
      <c r="D27" s="245"/>
      <c r="E27" s="246"/>
      <c r="F27" s="246"/>
      <c r="G27" s="246"/>
      <c r="H27" s="246"/>
      <c r="I27" s="246"/>
      <c r="J27" s="246"/>
      <c r="K27" s="246"/>
      <c r="L27" s="246"/>
      <c r="M27" s="247"/>
    </row>
    <row r="28" spans="1:13" x14ac:dyDescent="0.3">
      <c r="A28" s="25"/>
      <c r="B28" s="26"/>
      <c r="C28" s="239"/>
      <c r="D28" s="245"/>
      <c r="E28" s="246"/>
      <c r="F28" s="246"/>
      <c r="G28" s="246"/>
      <c r="H28" s="246"/>
      <c r="I28" s="246"/>
      <c r="J28" s="246"/>
      <c r="K28" s="246"/>
      <c r="L28" s="246"/>
      <c r="M28" s="247"/>
    </row>
    <row r="29" spans="1:13" x14ac:dyDescent="0.3">
      <c r="A29" s="25"/>
      <c r="B29" s="26"/>
      <c r="C29" s="239"/>
      <c r="D29" s="245"/>
      <c r="E29" s="246"/>
      <c r="F29" s="246"/>
      <c r="G29" s="246"/>
      <c r="H29" s="246"/>
      <c r="I29" s="246"/>
      <c r="J29" s="246"/>
      <c r="K29" s="246"/>
      <c r="L29" s="246"/>
      <c r="M29" s="247"/>
    </row>
    <row r="30" spans="1:13" x14ac:dyDescent="0.3">
      <c r="A30" s="25"/>
      <c r="B30" s="26"/>
      <c r="C30" s="239"/>
      <c r="D30" s="245"/>
      <c r="E30" s="246"/>
      <c r="F30" s="246"/>
      <c r="G30" s="246"/>
      <c r="H30" s="246"/>
      <c r="I30" s="246"/>
      <c r="J30" s="246"/>
      <c r="K30" s="246"/>
      <c r="L30" s="246"/>
      <c r="M30" s="247"/>
    </row>
    <row r="31" spans="1:13" x14ac:dyDescent="0.3">
      <c r="A31" s="25"/>
      <c r="B31" s="26"/>
      <c r="C31" s="239"/>
      <c r="D31" s="245"/>
      <c r="E31" s="246"/>
      <c r="F31" s="246"/>
      <c r="G31" s="246"/>
      <c r="H31" s="246"/>
      <c r="I31" s="246"/>
      <c r="J31" s="246"/>
      <c r="K31" s="246"/>
      <c r="L31" s="246"/>
      <c r="M31" s="247"/>
    </row>
    <row r="32" spans="1:13" ht="15" thickBot="1" x14ac:dyDescent="0.35">
      <c r="A32" s="25"/>
      <c r="B32" s="26"/>
      <c r="C32" s="239"/>
      <c r="D32" s="248"/>
      <c r="E32" s="249"/>
      <c r="F32" s="249"/>
      <c r="G32" s="249"/>
      <c r="H32" s="249"/>
      <c r="I32" s="249"/>
      <c r="J32" s="249"/>
      <c r="K32" s="249"/>
      <c r="L32" s="249"/>
      <c r="M32" s="250"/>
    </row>
    <row r="33" spans="1:2" ht="15" thickTop="1" x14ac:dyDescent="0.3">
      <c r="A33" s="26"/>
      <c r="B33" s="26"/>
    </row>
    <row r="34" spans="1:2" x14ac:dyDescent="0.3">
      <c r="A34" s="26"/>
      <c r="B34" s="26"/>
    </row>
    <row r="35" spans="1:2" x14ac:dyDescent="0.3">
      <c r="A35" s="26"/>
      <c r="B35" s="26"/>
    </row>
    <row r="36" spans="1:2" x14ac:dyDescent="0.3">
      <c r="A36" s="26"/>
      <c r="B36" s="26"/>
    </row>
    <row r="37" spans="1:2" x14ac:dyDescent="0.3">
      <c r="B37" s="5"/>
    </row>
  </sheetData>
  <mergeCells count="11">
    <mergeCell ref="A3:A23"/>
    <mergeCell ref="C17:C24"/>
    <mergeCell ref="C25:C32"/>
    <mergeCell ref="C1:M2"/>
    <mergeCell ref="C3:M3"/>
    <mergeCell ref="C5:M6"/>
    <mergeCell ref="D17:M24"/>
    <mergeCell ref="D25:M32"/>
    <mergeCell ref="C7:M7"/>
    <mergeCell ref="C9:C16"/>
    <mergeCell ref="D9:M16"/>
  </mergeCells>
  <conditionalFormatting sqref="C5">
    <cfRule type="cellIs" dxfId="22" priority="3" operator="greaterThan">
      <formula>3.5</formula>
    </cfRule>
    <cfRule type="cellIs" dxfId="21" priority="4" operator="between">
      <formula>2.4</formula>
      <formula>3.3</formula>
    </cfRule>
    <cfRule type="cellIs" dxfId="20" priority="5" operator="between">
      <formula>1.5</formula>
      <formula>2.3</formula>
    </cfRule>
    <cfRule type="cellIs" dxfId="19" priority="6" operator="lessThanOrEqual">
      <formula>1.4</formula>
    </cfRule>
  </conditionalFormatting>
  <conditionalFormatting sqref="C7:M7">
    <cfRule type="expression" dxfId="18" priority="1">
      <formula>IdentifyColor(B5)=HEX2DEC("FFE999")</formula>
    </cfRule>
  </conditionalFormatting>
  <pageMargins left="0.7" right="0.7" top="0.75" bottom="0.75" header="0.3" footer="0.3"/>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60"/>
  <sheetViews>
    <sheetView topLeftCell="E1" zoomScale="49" zoomScaleNormal="145" zoomScalePageLayoutView="70" workbookViewId="0">
      <selection activeCell="H40" sqref="H40"/>
    </sheetView>
  </sheetViews>
  <sheetFormatPr defaultColWidth="8.77734375" defaultRowHeight="14.4" x14ac:dyDescent="0.3"/>
  <cols>
    <col min="1" max="1" width="17.21875" style="7" bestFit="1" customWidth="1"/>
    <col min="2" max="2" width="55.21875" style="7" customWidth="1"/>
    <col min="3" max="3" width="32.21875" style="7" bestFit="1" customWidth="1"/>
    <col min="4" max="4" width="11.21875" style="7" bestFit="1" customWidth="1"/>
    <col min="5" max="5" width="25.21875" style="7" bestFit="1" customWidth="1"/>
    <col min="6" max="7" width="8.77734375" style="7"/>
    <col min="8" max="8" width="195.33203125" style="7" bestFit="1" customWidth="1"/>
    <col min="9" max="9" width="27.6640625" style="7" bestFit="1" customWidth="1"/>
    <col min="10" max="16384" width="8.77734375" style="7"/>
  </cols>
  <sheetData>
    <row r="1" spans="1:10" x14ac:dyDescent="0.3">
      <c r="A1" s="169" t="s">
        <v>339</v>
      </c>
      <c r="B1" s="169"/>
      <c r="C1" s="169"/>
      <c r="D1" s="169"/>
      <c r="E1" s="169"/>
      <c r="F1" s="169"/>
      <c r="G1" s="169"/>
      <c r="H1" s="169"/>
      <c r="I1" s="169"/>
      <c r="J1" s="169"/>
    </row>
    <row r="2" spans="1:10" x14ac:dyDescent="0.3">
      <c r="A2" s="21"/>
      <c r="B2" s="21"/>
      <c r="C2" s="21"/>
      <c r="D2" s="21"/>
      <c r="E2" s="21"/>
      <c r="F2" s="21"/>
      <c r="G2" s="21"/>
      <c r="H2" s="21"/>
      <c r="I2" s="21"/>
      <c r="J2" s="21"/>
    </row>
    <row r="3" spans="1:10" x14ac:dyDescent="0.3">
      <c r="I3" s="7" t="s">
        <v>89</v>
      </c>
    </row>
    <row r="4" spans="1:10" x14ac:dyDescent="0.3">
      <c r="A4" s="166" t="s">
        <v>108</v>
      </c>
      <c r="B4" s="226" t="s">
        <v>107</v>
      </c>
      <c r="C4" s="7" t="s">
        <v>65</v>
      </c>
      <c r="D4" s="7" t="s">
        <v>53</v>
      </c>
      <c r="E4" s="7" t="s">
        <v>54</v>
      </c>
      <c r="F4" s="7" t="s">
        <v>111</v>
      </c>
      <c r="G4" s="12">
        <v>1</v>
      </c>
      <c r="I4" s="23" t="str">
        <f>IFERROR(VLOOKUP('Answer Sheet'!J14,'Matrix - Part 3'!F5:G6,2,FALSE),"0")</f>
        <v>0</v>
      </c>
    </row>
    <row r="5" spans="1:10" x14ac:dyDescent="0.3">
      <c r="A5" s="166"/>
      <c r="B5" s="226"/>
      <c r="C5" s="7" t="s">
        <v>109</v>
      </c>
      <c r="D5" s="7" t="s">
        <v>68</v>
      </c>
      <c r="E5" s="7" t="s">
        <v>114</v>
      </c>
      <c r="F5" s="7" t="s">
        <v>112</v>
      </c>
      <c r="G5" s="10">
        <v>2</v>
      </c>
      <c r="H5" s="7" t="s">
        <v>402</v>
      </c>
      <c r="I5" s="18" t="str">
        <f>IFERROR(VLOOKUP('Answer Sheet'!L14,F5:G6,2,FALSE),"0")</f>
        <v>0</v>
      </c>
    </row>
    <row r="6" spans="1:10" x14ac:dyDescent="0.3">
      <c r="C6" s="7" t="s">
        <v>110</v>
      </c>
      <c r="D6" s="7" t="s">
        <v>71</v>
      </c>
      <c r="E6" s="7" t="s">
        <v>58</v>
      </c>
      <c r="F6" s="7" t="s">
        <v>113</v>
      </c>
      <c r="G6" s="10">
        <v>2</v>
      </c>
      <c r="H6" s="7" t="s">
        <v>402</v>
      </c>
      <c r="I6" s="18"/>
    </row>
    <row r="7" spans="1:10" x14ac:dyDescent="0.3">
      <c r="G7" s="31"/>
      <c r="I7" s="18"/>
    </row>
    <row r="8" spans="1:10" x14ac:dyDescent="0.3">
      <c r="A8" s="227" t="s">
        <v>119</v>
      </c>
      <c r="B8" s="226" t="s">
        <v>145</v>
      </c>
      <c r="C8" s="7" t="s">
        <v>115</v>
      </c>
      <c r="D8" s="7" t="s">
        <v>117</v>
      </c>
      <c r="E8" s="7" t="s">
        <v>69</v>
      </c>
      <c r="F8" s="7" t="s">
        <v>118</v>
      </c>
      <c r="G8" s="9">
        <v>1</v>
      </c>
      <c r="I8" s="18">
        <f>IFERROR(VLOOKUP('Answer Sheet'!J15,F8:G9,2,FALSE),0)</f>
        <v>0</v>
      </c>
    </row>
    <row r="9" spans="1:10" x14ac:dyDescent="0.3">
      <c r="A9" s="227"/>
      <c r="B9" s="226"/>
      <c r="C9" s="7" t="s">
        <v>116</v>
      </c>
      <c r="D9" s="7" t="s">
        <v>80</v>
      </c>
      <c r="E9" s="7" t="s">
        <v>74</v>
      </c>
      <c r="F9" s="7" t="s">
        <v>127</v>
      </c>
      <c r="G9" s="8">
        <v>4</v>
      </c>
      <c r="H9" s="7" t="s">
        <v>404</v>
      </c>
      <c r="I9" s="18"/>
    </row>
    <row r="10" spans="1:10" x14ac:dyDescent="0.3">
      <c r="I10" s="18"/>
    </row>
    <row r="11" spans="1:10" x14ac:dyDescent="0.3">
      <c r="A11" s="227" t="s">
        <v>120</v>
      </c>
      <c r="B11" s="226" t="s">
        <v>449</v>
      </c>
      <c r="C11" s="7" t="s">
        <v>121</v>
      </c>
      <c r="D11" s="7" t="s">
        <v>53</v>
      </c>
      <c r="E11" s="7" t="s">
        <v>54</v>
      </c>
      <c r="F11" s="7" t="s">
        <v>125</v>
      </c>
      <c r="G11" s="9">
        <v>1</v>
      </c>
      <c r="I11" s="18">
        <f>IFERROR(VLOOKUP('Answer Sheet'!J16,F11:G14,2,FALSE),0)</f>
        <v>0</v>
      </c>
    </row>
    <row r="12" spans="1:10" x14ac:dyDescent="0.3">
      <c r="A12" s="227"/>
      <c r="B12" s="226"/>
      <c r="C12" s="7" t="s">
        <v>122</v>
      </c>
      <c r="D12" s="7" t="s">
        <v>68</v>
      </c>
      <c r="E12" s="7" t="s">
        <v>69</v>
      </c>
      <c r="F12" s="7" t="s">
        <v>126</v>
      </c>
      <c r="G12" s="9">
        <v>1</v>
      </c>
      <c r="I12" s="18"/>
    </row>
    <row r="13" spans="1:10" x14ac:dyDescent="0.3">
      <c r="A13" s="227"/>
      <c r="B13" s="226"/>
      <c r="C13" s="7" t="s">
        <v>123</v>
      </c>
      <c r="D13" s="7" t="s">
        <v>68</v>
      </c>
      <c r="E13" s="7" t="s">
        <v>114</v>
      </c>
      <c r="F13" s="7" t="s">
        <v>128</v>
      </c>
      <c r="G13" s="10">
        <v>2</v>
      </c>
      <c r="H13" s="7" t="s">
        <v>409</v>
      </c>
      <c r="I13" s="18"/>
    </row>
    <row r="14" spans="1:10" x14ac:dyDescent="0.3">
      <c r="A14" s="20"/>
      <c r="B14" s="22"/>
      <c r="C14" s="7" t="s">
        <v>124</v>
      </c>
      <c r="D14" s="7" t="s">
        <v>80</v>
      </c>
      <c r="E14" s="7" t="s">
        <v>74</v>
      </c>
      <c r="F14" s="7" t="s">
        <v>129</v>
      </c>
      <c r="G14" s="8">
        <v>4</v>
      </c>
      <c r="H14" s="7" t="s">
        <v>408</v>
      </c>
      <c r="I14" s="18"/>
    </row>
    <row r="15" spans="1:10" x14ac:dyDescent="0.3">
      <c r="I15" s="18"/>
    </row>
    <row r="16" spans="1:10" ht="14.55" customHeight="1" x14ac:dyDescent="0.3">
      <c r="A16" s="227" t="s">
        <v>130</v>
      </c>
      <c r="B16" s="226" t="s">
        <v>147</v>
      </c>
      <c r="C16" s="7" t="s">
        <v>131</v>
      </c>
      <c r="D16" s="7" t="s">
        <v>53</v>
      </c>
      <c r="E16" s="7" t="s">
        <v>54</v>
      </c>
      <c r="F16" s="7" t="s">
        <v>132</v>
      </c>
      <c r="G16" s="9">
        <v>1</v>
      </c>
      <c r="I16" s="18" t="str">
        <f>IFERROR(VLOOKUP('Answer Sheet'!J17,F16:G18,2,FALSE),"0")</f>
        <v>0</v>
      </c>
    </row>
    <row r="17" spans="1:10" x14ac:dyDescent="0.3">
      <c r="A17" s="227"/>
      <c r="B17" s="226"/>
      <c r="C17" s="7" t="s">
        <v>52</v>
      </c>
      <c r="D17" s="7" t="s">
        <v>71</v>
      </c>
      <c r="E17" s="7" t="s">
        <v>114</v>
      </c>
      <c r="F17" s="7" t="s">
        <v>133</v>
      </c>
      <c r="G17" s="10">
        <v>2</v>
      </c>
      <c r="H17" s="7" t="s">
        <v>387</v>
      </c>
      <c r="I17" s="18"/>
    </row>
    <row r="18" spans="1:10" x14ac:dyDescent="0.3">
      <c r="A18" s="227"/>
      <c r="B18" s="226"/>
      <c r="C18" s="7" t="s">
        <v>116</v>
      </c>
      <c r="D18" s="7" t="s">
        <v>80</v>
      </c>
      <c r="E18" s="7" t="s">
        <v>58</v>
      </c>
      <c r="F18" s="7" t="s">
        <v>134</v>
      </c>
      <c r="G18" s="11">
        <v>3</v>
      </c>
      <c r="H18" s="7" t="s">
        <v>410</v>
      </c>
      <c r="I18" s="18"/>
    </row>
    <row r="19" spans="1:10" x14ac:dyDescent="0.3">
      <c r="I19" s="18"/>
    </row>
    <row r="20" spans="1:10" x14ac:dyDescent="0.3">
      <c r="A20" s="166" t="s">
        <v>135</v>
      </c>
      <c r="B20" s="168" t="s">
        <v>136</v>
      </c>
      <c r="C20" s="7" t="s">
        <v>65</v>
      </c>
      <c r="D20" s="7" t="s">
        <v>53</v>
      </c>
      <c r="E20" s="7" t="s">
        <v>54</v>
      </c>
      <c r="F20" s="7" t="s">
        <v>137</v>
      </c>
      <c r="G20" s="9">
        <v>1</v>
      </c>
      <c r="I20" s="18">
        <f>IFERROR(VLOOKUP('Answer Sheet'!J18,F20:G23,2,FALSE),0)</f>
        <v>0</v>
      </c>
    </row>
    <row r="21" spans="1:10" x14ac:dyDescent="0.3">
      <c r="A21" s="166"/>
      <c r="B21" s="168"/>
      <c r="C21" s="7" t="s">
        <v>116</v>
      </c>
      <c r="D21" s="7" t="s">
        <v>53</v>
      </c>
      <c r="E21" s="7" t="s">
        <v>54</v>
      </c>
      <c r="F21" s="7" t="s">
        <v>138</v>
      </c>
      <c r="G21" s="9">
        <v>1</v>
      </c>
      <c r="I21" s="18"/>
    </row>
    <row r="22" spans="1:10" x14ac:dyDescent="0.3">
      <c r="A22" s="166"/>
      <c r="B22" s="168"/>
      <c r="C22" s="7" t="s">
        <v>52</v>
      </c>
      <c r="D22" s="7" t="s">
        <v>71</v>
      </c>
      <c r="E22" s="7" t="s">
        <v>114</v>
      </c>
      <c r="F22" s="7" t="s">
        <v>139</v>
      </c>
      <c r="G22" s="10">
        <v>2</v>
      </c>
      <c r="H22" s="7" t="s">
        <v>413</v>
      </c>
      <c r="I22" s="18"/>
    </row>
    <row r="23" spans="1:10" x14ac:dyDescent="0.3">
      <c r="C23" s="7" t="s">
        <v>115</v>
      </c>
      <c r="D23" s="7" t="s">
        <v>60</v>
      </c>
      <c r="E23" s="7" t="s">
        <v>87</v>
      </c>
      <c r="F23" s="7" t="s">
        <v>140</v>
      </c>
      <c r="G23" s="8">
        <v>4</v>
      </c>
      <c r="H23" s="7" t="s">
        <v>414</v>
      </c>
      <c r="I23" s="19"/>
    </row>
    <row r="24" spans="1:10" x14ac:dyDescent="0.3">
      <c r="I24" s="18">
        <f>SUM(I4:I22)</f>
        <v>0</v>
      </c>
    </row>
    <row r="25" spans="1:10" x14ac:dyDescent="0.3">
      <c r="I25" s="18">
        <f>COUNTIF(I4:I20,"&gt;0.9")</f>
        <v>0</v>
      </c>
    </row>
    <row r="26" spans="1:10" x14ac:dyDescent="0.3">
      <c r="H26" s="13" t="s">
        <v>91</v>
      </c>
      <c r="I26" s="18">
        <f>IFERROR(ROUND(I24/I25,1),0)</f>
        <v>0</v>
      </c>
    </row>
    <row r="28" spans="1:10" x14ac:dyDescent="0.3">
      <c r="A28" s="225" t="s">
        <v>96</v>
      </c>
      <c r="B28" s="225"/>
      <c r="C28" s="225"/>
      <c r="D28" s="225"/>
      <c r="E28" s="225"/>
      <c r="F28" s="225"/>
      <c r="G28" s="225"/>
      <c r="H28" s="225"/>
      <c r="I28" s="225"/>
      <c r="J28" s="225"/>
    </row>
    <row r="30" spans="1:10" x14ac:dyDescent="0.3">
      <c r="A30" s="23" t="s">
        <v>94</v>
      </c>
      <c r="B30" s="14" t="s">
        <v>95</v>
      </c>
      <c r="C30" s="14"/>
      <c r="D30" s="14"/>
      <c r="E30" s="14"/>
      <c r="F30" s="14"/>
      <c r="G30" s="14"/>
      <c r="H30" s="14"/>
      <c r="I30" s="14"/>
      <c r="J30" s="14"/>
    </row>
    <row r="31" spans="1:10" x14ac:dyDescent="0.3">
      <c r="A31" s="15">
        <v>1</v>
      </c>
      <c r="B31" s="7" t="s">
        <v>148</v>
      </c>
    </row>
    <row r="32" spans="1:10" x14ac:dyDescent="0.3">
      <c r="A32" s="15">
        <v>1.2</v>
      </c>
      <c r="B32" s="7" t="s">
        <v>148</v>
      </c>
    </row>
    <row r="33" spans="1:2" x14ac:dyDescent="0.3">
      <c r="A33" s="15">
        <v>1.3</v>
      </c>
      <c r="B33" s="7" t="s">
        <v>148</v>
      </c>
    </row>
    <row r="34" spans="1:2" x14ac:dyDescent="0.3">
      <c r="A34" s="15">
        <v>1.4</v>
      </c>
      <c r="B34" s="7" t="s">
        <v>148</v>
      </c>
    </row>
    <row r="35" spans="1:2" x14ac:dyDescent="0.3">
      <c r="A35" s="17">
        <v>1.5</v>
      </c>
      <c r="B35" s="7" t="s">
        <v>150</v>
      </c>
    </row>
    <row r="36" spans="1:2" x14ac:dyDescent="0.3">
      <c r="A36" s="17">
        <v>1.6</v>
      </c>
      <c r="B36" s="7" t="s">
        <v>150</v>
      </c>
    </row>
    <row r="37" spans="1:2" x14ac:dyDescent="0.3">
      <c r="A37" s="17">
        <v>1.7</v>
      </c>
      <c r="B37" s="7" t="s">
        <v>150</v>
      </c>
    </row>
    <row r="38" spans="1:2" x14ac:dyDescent="0.3">
      <c r="A38" s="17">
        <v>1.8</v>
      </c>
      <c r="B38" s="7" t="s">
        <v>150</v>
      </c>
    </row>
    <row r="39" spans="1:2" x14ac:dyDescent="0.3">
      <c r="A39" s="17">
        <v>1.9</v>
      </c>
      <c r="B39" s="7" t="s">
        <v>150</v>
      </c>
    </row>
    <row r="40" spans="1:2" x14ac:dyDescent="0.3">
      <c r="A40" s="17">
        <v>2</v>
      </c>
      <c r="B40" s="7" t="s">
        <v>150</v>
      </c>
    </row>
    <row r="41" spans="1:2" x14ac:dyDescent="0.3">
      <c r="A41" s="17">
        <v>2.1</v>
      </c>
      <c r="B41" s="7" t="s">
        <v>150</v>
      </c>
    </row>
    <row r="42" spans="1:2" x14ac:dyDescent="0.3">
      <c r="A42" s="17">
        <v>2.2000000000000002</v>
      </c>
      <c r="B42" s="7" t="s">
        <v>150</v>
      </c>
    </row>
    <row r="43" spans="1:2" x14ac:dyDescent="0.3">
      <c r="A43" s="17">
        <v>2.2999999999999998</v>
      </c>
      <c r="B43" s="7" t="s">
        <v>150</v>
      </c>
    </row>
    <row r="44" spans="1:2" x14ac:dyDescent="0.3">
      <c r="A44" s="11">
        <v>2.4</v>
      </c>
      <c r="B44" s="7" t="s">
        <v>149</v>
      </c>
    </row>
    <row r="45" spans="1:2" x14ac:dyDescent="0.3">
      <c r="A45" s="11">
        <v>2.5</v>
      </c>
      <c r="B45" s="7" t="s">
        <v>149</v>
      </c>
    </row>
    <row r="46" spans="1:2" x14ac:dyDescent="0.3">
      <c r="A46" s="11">
        <v>2.6</v>
      </c>
      <c r="B46" s="7" t="s">
        <v>149</v>
      </c>
    </row>
    <row r="47" spans="1:2" x14ac:dyDescent="0.3">
      <c r="A47" s="11">
        <v>2.7</v>
      </c>
      <c r="B47" s="7" t="s">
        <v>149</v>
      </c>
    </row>
    <row r="48" spans="1:2" x14ac:dyDescent="0.3">
      <c r="A48" s="11">
        <v>2.8</v>
      </c>
      <c r="B48" s="7" t="s">
        <v>149</v>
      </c>
    </row>
    <row r="49" spans="1:2" x14ac:dyDescent="0.3">
      <c r="A49" s="11">
        <v>2.9</v>
      </c>
      <c r="B49" s="7" t="s">
        <v>149</v>
      </c>
    </row>
    <row r="50" spans="1:2" x14ac:dyDescent="0.3">
      <c r="A50" s="11">
        <v>3</v>
      </c>
      <c r="B50" s="7" t="s">
        <v>149</v>
      </c>
    </row>
    <row r="51" spans="1:2" x14ac:dyDescent="0.3">
      <c r="A51" s="11">
        <v>3.1</v>
      </c>
      <c r="B51" s="7" t="s">
        <v>149</v>
      </c>
    </row>
    <row r="52" spans="1:2" x14ac:dyDescent="0.3">
      <c r="A52" s="11">
        <v>3.2</v>
      </c>
      <c r="B52" s="7" t="s">
        <v>149</v>
      </c>
    </row>
    <row r="53" spans="1:2" x14ac:dyDescent="0.3">
      <c r="A53" s="11">
        <v>3.3</v>
      </c>
      <c r="B53" s="7" t="s">
        <v>149</v>
      </c>
    </row>
    <row r="54" spans="1:2" x14ac:dyDescent="0.3">
      <c r="A54" s="11">
        <v>3.4</v>
      </c>
      <c r="B54" s="7" t="s">
        <v>149</v>
      </c>
    </row>
    <row r="55" spans="1:2" x14ac:dyDescent="0.3">
      <c r="A55" s="16">
        <v>3.5</v>
      </c>
      <c r="B55" s="7" t="s">
        <v>105</v>
      </c>
    </row>
    <row r="56" spans="1:2" x14ac:dyDescent="0.3">
      <c r="A56" s="16">
        <v>3.6</v>
      </c>
      <c r="B56" s="7" t="s">
        <v>105</v>
      </c>
    </row>
    <row r="57" spans="1:2" x14ac:dyDescent="0.3">
      <c r="A57" s="16">
        <v>3.7</v>
      </c>
      <c r="B57" s="7" t="s">
        <v>105</v>
      </c>
    </row>
    <row r="58" spans="1:2" x14ac:dyDescent="0.3">
      <c r="A58" s="16">
        <v>3.8</v>
      </c>
      <c r="B58" s="7" t="s">
        <v>105</v>
      </c>
    </row>
    <row r="59" spans="1:2" x14ac:dyDescent="0.3">
      <c r="A59" s="16">
        <v>3.9</v>
      </c>
      <c r="B59" s="7" t="s">
        <v>105</v>
      </c>
    </row>
    <row r="60" spans="1:2" x14ac:dyDescent="0.3">
      <c r="A60" s="16">
        <v>4</v>
      </c>
      <c r="B60" s="7" t="s">
        <v>105</v>
      </c>
    </row>
  </sheetData>
  <mergeCells count="12">
    <mergeCell ref="A16:A18"/>
    <mergeCell ref="B16:B18"/>
    <mergeCell ref="A20:A22"/>
    <mergeCell ref="B20:B22"/>
    <mergeCell ref="A28:J28"/>
    <mergeCell ref="A11:A13"/>
    <mergeCell ref="B11:B13"/>
    <mergeCell ref="B8:B9"/>
    <mergeCell ref="A8:A9"/>
    <mergeCell ref="A1:J1"/>
    <mergeCell ref="A4:A5"/>
    <mergeCell ref="B4:B5"/>
  </mergeCell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37"/>
  <sheetViews>
    <sheetView showGridLines="0" zoomScale="60" zoomScaleNormal="60" zoomScalePageLayoutView="60" workbookViewId="0">
      <selection activeCell="D25" sqref="D25:M32"/>
    </sheetView>
  </sheetViews>
  <sheetFormatPr defaultColWidth="8.77734375" defaultRowHeight="14.4" x14ac:dyDescent="0.3"/>
  <cols>
    <col min="1" max="1" width="8.88671875" style="7" customWidth="1"/>
    <col min="2" max="2" width="8.77734375" style="7"/>
    <col min="3" max="3" width="2.21875" style="7" customWidth="1"/>
    <col min="4" max="16384" width="8.77734375" style="7"/>
  </cols>
  <sheetData>
    <row r="1" spans="1:13" x14ac:dyDescent="0.3">
      <c r="A1" s="24"/>
      <c r="B1" s="26"/>
      <c r="C1" s="240" t="s">
        <v>98</v>
      </c>
      <c r="D1" s="240"/>
      <c r="E1" s="240"/>
      <c r="F1" s="240"/>
      <c r="G1" s="240"/>
      <c r="H1" s="240"/>
      <c r="I1" s="240"/>
      <c r="J1" s="240"/>
      <c r="K1" s="240"/>
      <c r="L1" s="240"/>
      <c r="M1" s="240"/>
    </row>
    <row r="2" spans="1:13" ht="4.5" customHeight="1" x14ac:dyDescent="0.3">
      <c r="A2" s="25"/>
      <c r="B2" s="26"/>
      <c r="C2" s="240"/>
      <c r="D2" s="240"/>
      <c r="E2" s="240"/>
      <c r="F2" s="240"/>
      <c r="G2" s="240"/>
      <c r="H2" s="240"/>
      <c r="I2" s="240"/>
      <c r="J2" s="240"/>
      <c r="K2" s="240"/>
      <c r="L2" s="240"/>
      <c r="M2" s="240"/>
    </row>
    <row r="3" spans="1:13" ht="14.55" customHeight="1" x14ac:dyDescent="0.3">
      <c r="A3" s="237" t="s">
        <v>142</v>
      </c>
      <c r="B3" s="26"/>
      <c r="C3" s="240" t="s">
        <v>106</v>
      </c>
      <c r="D3" s="240"/>
      <c r="E3" s="240"/>
      <c r="F3" s="240"/>
      <c r="G3" s="240"/>
      <c r="H3" s="240"/>
      <c r="I3" s="240"/>
      <c r="J3" s="240"/>
      <c r="K3" s="240"/>
      <c r="L3" s="240"/>
      <c r="M3" s="240"/>
    </row>
    <row r="4" spans="1:13" ht="14.55" customHeight="1" x14ac:dyDescent="0.3">
      <c r="A4" s="237"/>
      <c r="B4" s="26"/>
      <c r="C4" s="28"/>
      <c r="D4" s="28"/>
      <c r="E4" s="28"/>
      <c r="F4" s="28"/>
      <c r="G4" s="30"/>
      <c r="H4" s="28"/>
      <c r="I4" s="28"/>
      <c r="J4" s="28"/>
      <c r="K4" s="28"/>
      <c r="L4" s="28"/>
      <c r="M4" s="28"/>
    </row>
    <row r="5" spans="1:13" ht="14.55" customHeight="1" x14ac:dyDescent="0.3">
      <c r="A5" s="237"/>
      <c r="B5" s="26"/>
      <c r="C5" s="241">
        <f>'Matrix - Part 2'!I28</f>
        <v>0</v>
      </c>
      <c r="D5" s="241"/>
      <c r="E5" s="241"/>
      <c r="F5" s="241"/>
      <c r="G5" s="241"/>
      <c r="H5" s="241"/>
      <c r="I5" s="241"/>
      <c r="J5" s="241"/>
      <c r="K5" s="241"/>
      <c r="L5" s="241"/>
      <c r="M5" s="241"/>
    </row>
    <row r="6" spans="1:13" x14ac:dyDescent="0.3">
      <c r="A6" s="237"/>
      <c r="B6" s="26"/>
      <c r="C6" s="241"/>
      <c r="D6" s="241"/>
      <c r="E6" s="241"/>
      <c r="F6" s="241"/>
      <c r="G6" s="241"/>
      <c r="H6" s="241"/>
      <c r="I6" s="241"/>
      <c r="J6" s="241"/>
      <c r="K6" s="241"/>
      <c r="L6" s="241"/>
      <c r="M6" s="241"/>
    </row>
    <row r="7" spans="1:13" ht="20.55" customHeight="1" x14ac:dyDescent="0.3">
      <c r="A7" s="237"/>
      <c r="B7" s="26"/>
      <c r="C7" s="251" t="e">
        <f>VLOOKUP('Report - Part 3'!C5,'Matrix - Part 2'!A33:B62,2,FALSE)</f>
        <v>#N/A</v>
      </c>
      <c r="D7" s="251"/>
      <c r="E7" s="251"/>
      <c r="F7" s="251"/>
      <c r="G7" s="251"/>
      <c r="H7" s="251"/>
      <c r="I7" s="251"/>
      <c r="J7" s="251"/>
      <c r="K7" s="251"/>
      <c r="L7" s="251"/>
      <c r="M7" s="251"/>
    </row>
    <row r="8" spans="1:13" ht="15" thickBot="1" x14ac:dyDescent="0.35">
      <c r="A8" s="237"/>
      <c r="B8" s="26"/>
      <c r="D8" s="27"/>
      <c r="E8" s="27"/>
      <c r="F8" s="27"/>
      <c r="G8" s="27"/>
      <c r="H8" s="27"/>
      <c r="I8" s="27"/>
      <c r="J8" s="27"/>
      <c r="K8" s="27"/>
      <c r="L8" s="27"/>
    </row>
    <row r="9" spans="1:13" ht="14.55" customHeight="1" thickTop="1" x14ac:dyDescent="0.3">
      <c r="A9" s="237"/>
      <c r="B9" s="26"/>
      <c r="C9" s="252" t="s">
        <v>99</v>
      </c>
      <c r="D9" s="242" t="str">
        <f>IFERROR(VLOOKUP('Matrix - Part 2'!I5,'Matrix - Part 2'!G6:H6,2,FALSE),"")&amp;CHAR(10)&amp;""&amp;CHAR(10)&amp;IFERROR(VLOOKUP('Matrix - Part 2'!I10,'Matrix - Part 2'!G12:H12,2,FALSE),"")</f>
        <v xml:space="preserve">
</v>
      </c>
      <c r="E9" s="243"/>
      <c r="F9" s="243"/>
      <c r="G9" s="243"/>
      <c r="H9" s="243"/>
      <c r="I9" s="243"/>
      <c r="J9" s="243"/>
      <c r="K9" s="243"/>
      <c r="L9" s="243"/>
      <c r="M9" s="244"/>
    </row>
    <row r="10" spans="1:13" x14ac:dyDescent="0.3">
      <c r="A10" s="237"/>
      <c r="B10" s="26"/>
      <c r="C10" s="252"/>
      <c r="D10" s="245"/>
      <c r="E10" s="246"/>
      <c r="F10" s="246"/>
      <c r="G10" s="246"/>
      <c r="H10" s="246"/>
      <c r="I10" s="246"/>
      <c r="J10" s="246"/>
      <c r="K10" s="246"/>
      <c r="L10" s="246"/>
      <c r="M10" s="247"/>
    </row>
    <row r="11" spans="1:13" x14ac:dyDescent="0.3">
      <c r="A11" s="237"/>
      <c r="B11" s="26"/>
      <c r="C11" s="252"/>
      <c r="D11" s="245"/>
      <c r="E11" s="246"/>
      <c r="F11" s="246"/>
      <c r="G11" s="246"/>
      <c r="H11" s="246"/>
      <c r="I11" s="246"/>
      <c r="J11" s="246"/>
      <c r="K11" s="246"/>
      <c r="L11" s="246"/>
      <c r="M11" s="247"/>
    </row>
    <row r="12" spans="1:13" x14ac:dyDescent="0.3">
      <c r="A12" s="237"/>
      <c r="B12" s="26"/>
      <c r="C12" s="252"/>
      <c r="D12" s="245"/>
      <c r="E12" s="246"/>
      <c r="F12" s="246"/>
      <c r="G12" s="246"/>
      <c r="H12" s="246"/>
      <c r="I12" s="246"/>
      <c r="J12" s="246"/>
      <c r="K12" s="246"/>
      <c r="L12" s="246"/>
      <c r="M12" s="247"/>
    </row>
    <row r="13" spans="1:13" x14ac:dyDescent="0.3">
      <c r="A13" s="237"/>
      <c r="B13" s="26"/>
      <c r="C13" s="252"/>
      <c r="D13" s="245"/>
      <c r="E13" s="246"/>
      <c r="F13" s="246"/>
      <c r="G13" s="246"/>
      <c r="H13" s="246"/>
      <c r="I13" s="246"/>
      <c r="J13" s="246"/>
      <c r="K13" s="246"/>
      <c r="L13" s="246"/>
      <c r="M13" s="247"/>
    </row>
    <row r="14" spans="1:13" x14ac:dyDescent="0.3">
      <c r="A14" s="237"/>
      <c r="B14" s="26"/>
      <c r="C14" s="252"/>
      <c r="D14" s="245"/>
      <c r="E14" s="246"/>
      <c r="F14" s="246"/>
      <c r="G14" s="246"/>
      <c r="H14" s="246"/>
      <c r="I14" s="246"/>
      <c r="J14" s="246"/>
      <c r="K14" s="246"/>
      <c r="L14" s="246"/>
      <c r="M14" s="247"/>
    </row>
    <row r="15" spans="1:13" x14ac:dyDescent="0.3">
      <c r="A15" s="237"/>
      <c r="B15" s="26"/>
      <c r="C15" s="252"/>
      <c r="D15" s="245"/>
      <c r="E15" s="246"/>
      <c r="F15" s="246"/>
      <c r="G15" s="246"/>
      <c r="H15" s="246"/>
      <c r="I15" s="246"/>
      <c r="J15" s="246"/>
      <c r="K15" s="246"/>
      <c r="L15" s="246"/>
      <c r="M15" s="247"/>
    </row>
    <row r="16" spans="1:13" ht="45.45" customHeight="1" thickBot="1" x14ac:dyDescent="0.35">
      <c r="A16" s="237"/>
      <c r="B16" s="26"/>
      <c r="C16" s="252"/>
      <c r="D16" s="248"/>
      <c r="E16" s="249"/>
      <c r="F16" s="249"/>
      <c r="G16" s="249"/>
      <c r="H16" s="249"/>
      <c r="I16" s="249"/>
      <c r="J16" s="249"/>
      <c r="K16" s="249"/>
      <c r="L16" s="249"/>
      <c r="M16" s="250"/>
    </row>
    <row r="17" spans="1:13" ht="15" thickTop="1" x14ac:dyDescent="0.3">
      <c r="A17" s="237"/>
      <c r="B17" s="26"/>
      <c r="C17" s="238" t="s">
        <v>100</v>
      </c>
      <c r="D17" s="242" t="str">
        <f>IFERROR(VLOOKUP('Matrix - Part 2'!I10,'Matrix - Part 2'!G11:H11,2,FALSE),"")&amp;CHAR(10)&amp;""&amp;CHAR(10)&amp;IFERROR(VLOOKUP('Matrix - Part 2'!#REF!,'Matrix - Part 2'!#REF!,2,FALSE),"")</f>
        <v xml:space="preserve">
</v>
      </c>
      <c r="E17" s="243"/>
      <c r="F17" s="243"/>
      <c r="G17" s="243"/>
      <c r="H17" s="243"/>
      <c r="I17" s="243"/>
      <c r="J17" s="243"/>
      <c r="K17" s="243"/>
      <c r="L17" s="243"/>
      <c r="M17" s="244"/>
    </row>
    <row r="18" spans="1:13" x14ac:dyDescent="0.3">
      <c r="A18" s="237"/>
      <c r="B18" s="26"/>
      <c r="C18" s="238"/>
      <c r="D18" s="245"/>
      <c r="E18" s="246"/>
      <c r="F18" s="246"/>
      <c r="G18" s="246"/>
      <c r="H18" s="246"/>
      <c r="I18" s="246"/>
      <c r="J18" s="246"/>
      <c r="K18" s="246"/>
      <c r="L18" s="246"/>
      <c r="M18" s="247"/>
    </row>
    <row r="19" spans="1:13" x14ac:dyDescent="0.3">
      <c r="A19" s="237"/>
      <c r="B19" s="26"/>
      <c r="C19" s="238"/>
      <c r="D19" s="245"/>
      <c r="E19" s="246"/>
      <c r="F19" s="246"/>
      <c r="G19" s="246"/>
      <c r="H19" s="246"/>
      <c r="I19" s="246"/>
      <c r="J19" s="246"/>
      <c r="K19" s="246"/>
      <c r="L19" s="246"/>
      <c r="M19" s="247"/>
    </row>
    <row r="20" spans="1:13" x14ac:dyDescent="0.3">
      <c r="A20" s="237"/>
      <c r="B20" s="26"/>
      <c r="C20" s="238"/>
      <c r="D20" s="245"/>
      <c r="E20" s="246"/>
      <c r="F20" s="246"/>
      <c r="G20" s="246"/>
      <c r="H20" s="246"/>
      <c r="I20" s="246"/>
      <c r="J20" s="246"/>
      <c r="K20" s="246"/>
      <c r="L20" s="246"/>
      <c r="M20" s="247"/>
    </row>
    <row r="21" spans="1:13" x14ac:dyDescent="0.3">
      <c r="A21" s="237"/>
      <c r="B21" s="26"/>
      <c r="C21" s="238"/>
      <c r="D21" s="245"/>
      <c r="E21" s="246"/>
      <c r="F21" s="246"/>
      <c r="G21" s="246"/>
      <c r="H21" s="246"/>
      <c r="I21" s="246"/>
      <c r="J21" s="246"/>
      <c r="K21" s="246"/>
      <c r="L21" s="246"/>
      <c r="M21" s="247"/>
    </row>
    <row r="22" spans="1:13" x14ac:dyDescent="0.3">
      <c r="A22" s="237"/>
      <c r="B22" s="26"/>
      <c r="C22" s="238"/>
      <c r="D22" s="245"/>
      <c r="E22" s="246"/>
      <c r="F22" s="246"/>
      <c r="G22" s="246"/>
      <c r="H22" s="246"/>
      <c r="I22" s="246"/>
      <c r="J22" s="246"/>
      <c r="K22" s="246"/>
      <c r="L22" s="246"/>
      <c r="M22" s="247"/>
    </row>
    <row r="23" spans="1:13" x14ac:dyDescent="0.3">
      <c r="A23" s="237"/>
      <c r="B23" s="26"/>
      <c r="C23" s="238"/>
      <c r="D23" s="245"/>
      <c r="E23" s="246"/>
      <c r="F23" s="246"/>
      <c r="G23" s="246"/>
      <c r="H23" s="246"/>
      <c r="I23" s="246"/>
      <c r="J23" s="246"/>
      <c r="K23" s="246"/>
      <c r="L23" s="246"/>
      <c r="M23" s="247"/>
    </row>
    <row r="24" spans="1:13" ht="15" thickBot="1" x14ac:dyDescent="0.35">
      <c r="A24" s="25"/>
      <c r="B24" s="26"/>
      <c r="C24" s="238"/>
      <c r="D24" s="248"/>
      <c r="E24" s="249"/>
      <c r="F24" s="249"/>
      <c r="G24" s="249"/>
      <c r="H24" s="249"/>
      <c r="I24" s="249"/>
      <c r="J24" s="249"/>
      <c r="K24" s="249"/>
      <c r="L24" s="249"/>
      <c r="M24" s="250"/>
    </row>
    <row r="25" spans="1:13" ht="15" thickTop="1" x14ac:dyDescent="0.3">
      <c r="A25" s="25"/>
      <c r="B25" s="26"/>
      <c r="C25" s="239" t="s">
        <v>101</v>
      </c>
      <c r="D25" s="242" t="str">
        <f>IFERROR(VLOOKUP('Matrix - Part 3'!I4,'Matrix - Part 3'!G5:H5,2,FALSE),"")&amp;CHAR(10)&amp;""&amp;CHAR(10)&amp;IFERROR(IF('Matrix - Part 3'!I4=2,"",VLOOKUP('Matrix - Part 3'!I5,'Matrix - Part 3'!G6:H6,2,FALSE)),"")</f>
        <v xml:space="preserve">
</v>
      </c>
      <c r="E25" s="243"/>
      <c r="F25" s="243"/>
      <c r="G25" s="243"/>
      <c r="H25" s="243"/>
      <c r="I25" s="243"/>
      <c r="J25" s="243"/>
      <c r="K25" s="243"/>
      <c r="L25" s="243"/>
      <c r="M25" s="244"/>
    </row>
    <row r="26" spans="1:13" x14ac:dyDescent="0.3">
      <c r="A26" s="25"/>
      <c r="B26" s="26"/>
      <c r="C26" s="239"/>
      <c r="D26" s="245"/>
      <c r="E26" s="246"/>
      <c r="F26" s="246"/>
      <c r="G26" s="246"/>
      <c r="H26" s="246"/>
      <c r="I26" s="246"/>
      <c r="J26" s="246"/>
      <c r="K26" s="246"/>
      <c r="L26" s="246"/>
      <c r="M26" s="247"/>
    </row>
    <row r="27" spans="1:13" x14ac:dyDescent="0.3">
      <c r="A27" s="25"/>
      <c r="B27" s="26"/>
      <c r="C27" s="239"/>
      <c r="D27" s="245"/>
      <c r="E27" s="246"/>
      <c r="F27" s="246"/>
      <c r="G27" s="246"/>
      <c r="H27" s="246"/>
      <c r="I27" s="246"/>
      <c r="J27" s="246"/>
      <c r="K27" s="246"/>
      <c r="L27" s="246"/>
      <c r="M27" s="247"/>
    </row>
    <row r="28" spans="1:13" x14ac:dyDescent="0.3">
      <c r="A28" s="25"/>
      <c r="B28" s="26"/>
      <c r="C28" s="239"/>
      <c r="D28" s="245"/>
      <c r="E28" s="246"/>
      <c r="F28" s="246"/>
      <c r="G28" s="246"/>
      <c r="H28" s="246"/>
      <c r="I28" s="246"/>
      <c r="J28" s="246"/>
      <c r="K28" s="246"/>
      <c r="L28" s="246"/>
      <c r="M28" s="247"/>
    </row>
    <row r="29" spans="1:13" x14ac:dyDescent="0.3">
      <c r="A29" s="25"/>
      <c r="B29" s="26"/>
      <c r="C29" s="239"/>
      <c r="D29" s="245"/>
      <c r="E29" s="246"/>
      <c r="F29" s="246"/>
      <c r="G29" s="246"/>
      <c r="H29" s="246"/>
      <c r="I29" s="246"/>
      <c r="J29" s="246"/>
      <c r="K29" s="246"/>
      <c r="L29" s="246"/>
      <c r="M29" s="247"/>
    </row>
    <row r="30" spans="1:13" x14ac:dyDescent="0.3">
      <c r="A30" s="25"/>
      <c r="B30" s="26"/>
      <c r="C30" s="239"/>
      <c r="D30" s="245"/>
      <c r="E30" s="246"/>
      <c r="F30" s="246"/>
      <c r="G30" s="246"/>
      <c r="H30" s="246"/>
      <c r="I30" s="246"/>
      <c r="J30" s="246"/>
      <c r="K30" s="246"/>
      <c r="L30" s="246"/>
      <c r="M30" s="247"/>
    </row>
    <row r="31" spans="1:13" x14ac:dyDescent="0.3">
      <c r="A31" s="25"/>
      <c r="B31" s="26"/>
      <c r="C31" s="239"/>
      <c r="D31" s="245"/>
      <c r="E31" s="246"/>
      <c r="F31" s="246"/>
      <c r="G31" s="246"/>
      <c r="H31" s="246"/>
      <c r="I31" s="246"/>
      <c r="J31" s="246"/>
      <c r="K31" s="246"/>
      <c r="L31" s="246"/>
      <c r="M31" s="247"/>
    </row>
    <row r="32" spans="1:13" ht="15" thickBot="1" x14ac:dyDescent="0.35">
      <c r="A32" s="25"/>
      <c r="B32" s="26"/>
      <c r="C32" s="239"/>
      <c r="D32" s="248"/>
      <c r="E32" s="249"/>
      <c r="F32" s="249"/>
      <c r="G32" s="249"/>
      <c r="H32" s="249"/>
      <c r="I32" s="249"/>
      <c r="J32" s="249"/>
      <c r="K32" s="249"/>
      <c r="L32" s="249"/>
      <c r="M32" s="250"/>
    </row>
    <row r="33" spans="1:2" ht="15" thickTop="1" x14ac:dyDescent="0.3">
      <c r="A33" s="26"/>
      <c r="B33" s="26"/>
    </row>
    <row r="34" spans="1:2" x14ac:dyDescent="0.3">
      <c r="A34" s="26"/>
      <c r="B34" s="26"/>
    </row>
    <row r="35" spans="1:2" x14ac:dyDescent="0.3">
      <c r="A35" s="26"/>
      <c r="B35" s="26"/>
    </row>
    <row r="36" spans="1:2" x14ac:dyDescent="0.3">
      <c r="A36" s="26"/>
      <c r="B36" s="26"/>
    </row>
    <row r="37" spans="1:2" x14ac:dyDescent="0.3">
      <c r="B37" s="5"/>
    </row>
  </sheetData>
  <mergeCells count="11">
    <mergeCell ref="C25:C32"/>
    <mergeCell ref="D25:M32"/>
    <mergeCell ref="C1:M2"/>
    <mergeCell ref="A3:A23"/>
    <mergeCell ref="C3:M3"/>
    <mergeCell ref="C5:M6"/>
    <mergeCell ref="C7:M7"/>
    <mergeCell ref="C9:C16"/>
    <mergeCell ref="D9:M16"/>
    <mergeCell ref="C17:C24"/>
    <mergeCell ref="D17:M24"/>
  </mergeCells>
  <conditionalFormatting sqref="C5">
    <cfRule type="cellIs" dxfId="17" priority="2" operator="greaterThan">
      <formula>3.5</formula>
    </cfRule>
    <cfRule type="cellIs" dxfId="16" priority="3" operator="between">
      <formula>2.4</formula>
      <formula>3.3</formula>
    </cfRule>
    <cfRule type="cellIs" dxfId="15" priority="4" operator="between">
      <formula>1.5</formula>
      <formula>2.3</formula>
    </cfRule>
    <cfRule type="cellIs" dxfId="14" priority="5" operator="lessThanOrEqual">
      <formula>1.4</formula>
    </cfRule>
  </conditionalFormatting>
  <conditionalFormatting sqref="C7:M7">
    <cfRule type="expression" dxfId="13" priority="1">
      <formula>IdentifyColor(B5)=HEX2DEC("FFE999")</formula>
    </cfRule>
  </conditionalFormatting>
  <pageMargins left="0.7" right="0.7" top="0.75" bottom="0.75" header="0.3" footer="0.3"/>
  <pageSetup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39"/>
  <sheetViews>
    <sheetView showGridLines="0" showRuler="0" view="pageLayout" zoomScale="60" zoomScaleNormal="100" zoomScalePageLayoutView="60" workbookViewId="0">
      <selection activeCell="F12" sqref="F12:I34"/>
    </sheetView>
  </sheetViews>
  <sheetFormatPr defaultColWidth="8.77734375" defaultRowHeight="14.4" x14ac:dyDescent="0.3"/>
  <cols>
    <col min="1" max="1" width="8.77734375" style="7"/>
    <col min="2" max="2" width="8.77734375" style="7" customWidth="1"/>
    <col min="3" max="16384" width="8.77734375" style="7"/>
  </cols>
  <sheetData>
    <row r="1" spans="1:14" ht="23.4" x14ac:dyDescent="0.45">
      <c r="A1" s="41"/>
      <c r="B1" s="41"/>
      <c r="C1" s="41"/>
      <c r="D1" s="41"/>
      <c r="E1" s="41"/>
      <c r="F1" s="41"/>
      <c r="G1" s="41"/>
      <c r="H1" s="194" t="s">
        <v>173</v>
      </c>
      <c r="I1" s="196"/>
      <c r="J1" s="196"/>
      <c r="K1" s="196"/>
      <c r="L1" s="196"/>
      <c r="M1" s="196"/>
      <c r="N1" s="41"/>
    </row>
    <row r="2" spans="1:14" ht="14.55" customHeight="1" x14ac:dyDescent="0.3">
      <c r="A2" s="42"/>
      <c r="B2" s="42"/>
      <c r="C2" s="42"/>
      <c r="D2" s="42"/>
      <c r="E2" s="42"/>
      <c r="F2" s="42"/>
      <c r="G2" s="42"/>
      <c r="H2" s="196"/>
      <c r="I2" s="196"/>
      <c r="J2" s="196"/>
      <c r="K2" s="196"/>
      <c r="L2" s="196"/>
      <c r="M2" s="196"/>
      <c r="N2" s="42"/>
    </row>
    <row r="3" spans="1:14" ht="14.55" customHeight="1" x14ac:dyDescent="0.3">
      <c r="A3" s="42"/>
      <c r="B3" s="42"/>
      <c r="C3" s="42"/>
      <c r="D3" s="42"/>
      <c r="E3" s="42"/>
      <c r="F3" s="42"/>
      <c r="G3" s="42"/>
      <c r="H3" s="196"/>
      <c r="I3" s="196"/>
      <c r="J3" s="196"/>
      <c r="K3" s="196"/>
      <c r="L3" s="196"/>
      <c r="M3" s="196"/>
      <c r="N3" s="42"/>
    </row>
    <row r="4" spans="1:14" ht="8.6999999999999993" customHeight="1" x14ac:dyDescent="0.3">
      <c r="A4" s="42"/>
      <c r="B4" s="42"/>
      <c r="C4" s="42"/>
      <c r="D4" s="42"/>
      <c r="E4" s="42"/>
      <c r="F4" s="42"/>
      <c r="G4" s="42"/>
      <c r="H4" s="42"/>
      <c r="I4" s="42"/>
      <c r="J4" s="42"/>
      <c r="K4" s="42"/>
      <c r="L4" s="42"/>
      <c r="M4" s="42"/>
      <c r="N4" s="42"/>
    </row>
    <row r="5" spans="1:14" x14ac:dyDescent="0.3">
      <c r="A5" s="14"/>
      <c r="B5" s="14"/>
      <c r="C5" s="14"/>
      <c r="D5" s="14"/>
      <c r="E5" s="14"/>
      <c r="G5" s="14"/>
      <c r="H5" s="14"/>
      <c r="I5" s="14"/>
      <c r="J5" s="14"/>
      <c r="K5" s="14"/>
      <c r="L5" s="14"/>
      <c r="M5" s="14"/>
      <c r="N5" s="14"/>
    </row>
    <row r="6" spans="1:14" ht="14.55" customHeight="1" x14ac:dyDescent="0.3">
      <c r="B6" s="195" t="s">
        <v>170</v>
      </c>
      <c r="C6" s="195"/>
      <c r="D6" s="195"/>
      <c r="E6" s="162" t="s">
        <v>171</v>
      </c>
      <c r="F6" s="162"/>
      <c r="G6" s="162"/>
      <c r="H6" s="162"/>
      <c r="I6" s="162"/>
      <c r="J6" s="162"/>
      <c r="K6" s="162"/>
      <c r="L6" s="162"/>
      <c r="M6" s="162"/>
      <c r="N6" s="14"/>
    </row>
    <row r="7" spans="1:14" ht="14.55" customHeight="1" x14ac:dyDescent="0.3">
      <c r="A7" s="32"/>
      <c r="B7" s="180">
        <f>'Matrix - Part 3'!I26</f>
        <v>0</v>
      </c>
      <c r="C7" s="180"/>
      <c r="D7" s="180"/>
      <c r="E7" s="181" t="e">
        <f>VLOOKUP(B7,'Matrix - Part 3'!A31:B60,2,FALSE)</f>
        <v>#N/A</v>
      </c>
      <c r="F7" s="181"/>
      <c r="G7" s="181"/>
      <c r="H7" s="181"/>
      <c r="I7" s="181"/>
      <c r="J7" s="181"/>
      <c r="K7" s="181"/>
      <c r="L7" s="181"/>
      <c r="M7" s="181"/>
      <c r="N7" s="14"/>
    </row>
    <row r="8" spans="1:14" ht="14.55" customHeight="1" x14ac:dyDescent="0.3">
      <c r="A8" s="32"/>
      <c r="B8" s="180"/>
      <c r="C8" s="180"/>
      <c r="D8" s="180"/>
      <c r="E8" s="181"/>
      <c r="F8" s="181"/>
      <c r="G8" s="181"/>
      <c r="H8" s="181"/>
      <c r="I8" s="181"/>
      <c r="J8" s="181"/>
      <c r="K8" s="181"/>
      <c r="L8" s="181"/>
      <c r="M8" s="181"/>
      <c r="N8" s="14"/>
    </row>
    <row r="9" spans="1:14" ht="14.55" customHeight="1" x14ac:dyDescent="0.3">
      <c r="A9" s="32"/>
      <c r="B9" s="180"/>
      <c r="C9" s="180"/>
      <c r="D9" s="180"/>
      <c r="E9" s="181"/>
      <c r="F9" s="181"/>
      <c r="G9" s="181"/>
      <c r="H9" s="181"/>
      <c r="I9" s="181"/>
      <c r="J9" s="181"/>
      <c r="K9" s="181"/>
      <c r="L9" s="181"/>
      <c r="M9" s="181"/>
      <c r="N9" s="14"/>
    </row>
    <row r="10" spans="1:14" ht="14.55" customHeight="1" x14ac:dyDescent="0.3">
      <c r="A10" s="32"/>
      <c r="B10" s="45"/>
      <c r="C10" s="45"/>
      <c r="D10" s="45"/>
      <c r="E10" s="46"/>
      <c r="F10" s="46"/>
      <c r="G10" s="46"/>
      <c r="H10" s="46"/>
      <c r="I10" s="46"/>
      <c r="J10" s="46"/>
      <c r="K10" s="46"/>
      <c r="L10" s="46"/>
      <c r="M10" s="46"/>
      <c r="N10" s="14"/>
    </row>
    <row r="11" spans="1:14" ht="14.55" customHeight="1" thickBot="1" x14ac:dyDescent="0.35">
      <c r="A11" s="32"/>
      <c r="B11" s="177" t="s">
        <v>144</v>
      </c>
      <c r="C11" s="177"/>
      <c r="D11" s="177"/>
      <c r="E11" s="177"/>
      <c r="F11" s="178" t="s">
        <v>143</v>
      </c>
      <c r="G11" s="178"/>
      <c r="H11" s="178"/>
      <c r="I11" s="178"/>
      <c r="J11" s="179" t="s">
        <v>176</v>
      </c>
      <c r="K11" s="179"/>
      <c r="L11" s="179"/>
      <c r="M11" s="179"/>
      <c r="N11" s="14"/>
    </row>
    <row r="12" spans="1:14" ht="15" customHeight="1" x14ac:dyDescent="0.3">
      <c r="B12" s="228" t="str">
        <f>IFERROR(VLOOKUP('Matrix - Part 2'!I5,'Matrix - Part 2'!G6:H6,2,FALSE),"")&amp;CHAR(10)&amp;""&amp;CHAR(10)&amp;IFERROR(VLOOKUP('Matrix - Part 2'!I10,'Matrix - Part 2'!G12:H12,2,FALSE),"")&amp;CHAR(10)&amp;""&amp;IFERROR(VLOOKUP('Matrix - Part 3'!I8,'Matrix - Part 3'!G9:H9,2,FALSE),"")&amp;CHAR(10)&amp;""&amp;CHAR(10)&amp;IFERROR(VLOOKUP('Matrix - Part 3'!I11,'Matrix - Part 3'!G14:H14,2,FALSE),"")&amp;CHAR(10)&amp;""&amp;CHAR(10)&amp;IFERROR(VLOOKUP('Matrix - Part 3'!I20,'Matrix - Part 3'!G23:H23,2,FALSE),"")</f>
        <v xml:space="preserve">
</v>
      </c>
      <c r="C12" s="229"/>
      <c r="D12" s="229"/>
      <c r="E12" s="230"/>
      <c r="F12" s="228" t="str">
        <f>IFERROR(VLOOKUP('Matrix - Part 2'!I10,'Matrix - Part 2'!G11:H11,2,FALSE),"")&amp;CHAR(10)&amp;""&amp;CHAR(10)&amp;IFERROR(VLOOKUP('Matrix - Part 2'!#REF!,'Matrix - Part 2'!#REF!,2,FALSE),"")&amp;CHAR(10)&amp;""&amp;CHAR(10)&amp;IFERROR(VLOOKUP('Matrix - Part 3'!I16,'Matrix - Part 3'!G18:H18,2,FALSE),"")</f>
        <v xml:space="preserve">
</v>
      </c>
      <c r="G12" s="229"/>
      <c r="H12" s="229"/>
      <c r="I12" s="230"/>
      <c r="J12" s="228" t="str">
        <f>IFERROR(VLOOKUP('Matrix - Part 3'!I4,'Matrix - Part 3'!G5:H5,2,FALSE),"")&amp;CHAR(10)&amp;""&amp;IFERROR(IF('Matrix - Part 3'!I4=2,"",VLOOKUP('Matrix - Part 3'!I5,'Matrix - Part 3'!G6:H6,2,FALSE)),"")&amp;CHAR(10)&amp;""&amp;IFERROR(VLOOKUP('Matrix - Part 3'!I11,'Matrix - Part 3'!G13:H13,2,FALSE),"")&amp;CHAR(10)&amp;""&amp;IFERROR(VLOOKUP('Matrix - Part 3'!I20,'Matrix - Part 3'!G22:H22,2,FALSE),"")</f>
        <v xml:space="preserve">
</v>
      </c>
      <c r="K12" s="229"/>
      <c r="L12" s="229"/>
      <c r="M12" s="230"/>
      <c r="N12" s="5"/>
    </row>
    <row r="13" spans="1:14" x14ac:dyDescent="0.3">
      <c r="B13" s="231"/>
      <c r="C13" s="232"/>
      <c r="D13" s="232"/>
      <c r="E13" s="233"/>
      <c r="F13" s="231"/>
      <c r="G13" s="232"/>
      <c r="H13" s="232"/>
      <c r="I13" s="233"/>
      <c r="J13" s="231"/>
      <c r="K13" s="232"/>
      <c r="L13" s="232"/>
      <c r="M13" s="233"/>
      <c r="N13" s="5"/>
    </row>
    <row r="14" spans="1:14" x14ac:dyDescent="0.3">
      <c r="B14" s="231"/>
      <c r="C14" s="232"/>
      <c r="D14" s="232"/>
      <c r="E14" s="233"/>
      <c r="F14" s="231"/>
      <c r="G14" s="232"/>
      <c r="H14" s="232"/>
      <c r="I14" s="233"/>
      <c r="J14" s="231"/>
      <c r="K14" s="232"/>
      <c r="L14" s="232"/>
      <c r="M14" s="233"/>
      <c r="N14" s="5"/>
    </row>
    <row r="15" spans="1:14" x14ac:dyDescent="0.3">
      <c r="B15" s="231"/>
      <c r="C15" s="232"/>
      <c r="D15" s="232"/>
      <c r="E15" s="233"/>
      <c r="F15" s="231"/>
      <c r="G15" s="232"/>
      <c r="H15" s="232"/>
      <c r="I15" s="233"/>
      <c r="J15" s="231"/>
      <c r="K15" s="232"/>
      <c r="L15" s="232"/>
      <c r="M15" s="233"/>
      <c r="N15" s="5"/>
    </row>
    <row r="16" spans="1:14" x14ac:dyDescent="0.3">
      <c r="B16" s="231"/>
      <c r="C16" s="232"/>
      <c r="D16" s="232"/>
      <c r="E16" s="233"/>
      <c r="F16" s="231"/>
      <c r="G16" s="232"/>
      <c r="H16" s="232"/>
      <c r="I16" s="233"/>
      <c r="J16" s="231"/>
      <c r="K16" s="232"/>
      <c r="L16" s="232"/>
      <c r="M16" s="233"/>
      <c r="N16" s="5"/>
    </row>
    <row r="17" spans="2:14" x14ac:dyDescent="0.3">
      <c r="B17" s="231"/>
      <c r="C17" s="232"/>
      <c r="D17" s="232"/>
      <c r="E17" s="233"/>
      <c r="F17" s="231"/>
      <c r="G17" s="232"/>
      <c r="H17" s="232"/>
      <c r="I17" s="233"/>
      <c r="J17" s="231"/>
      <c r="K17" s="232"/>
      <c r="L17" s="232"/>
      <c r="M17" s="233"/>
      <c r="N17" s="5"/>
    </row>
    <row r="18" spans="2:14" x14ac:dyDescent="0.3">
      <c r="B18" s="231"/>
      <c r="C18" s="232"/>
      <c r="D18" s="232"/>
      <c r="E18" s="233"/>
      <c r="F18" s="231"/>
      <c r="G18" s="232"/>
      <c r="H18" s="232"/>
      <c r="I18" s="233"/>
      <c r="J18" s="231"/>
      <c r="K18" s="232"/>
      <c r="L18" s="232"/>
      <c r="M18" s="233"/>
      <c r="N18" s="5"/>
    </row>
    <row r="19" spans="2:14" x14ac:dyDescent="0.3">
      <c r="B19" s="231"/>
      <c r="C19" s="232"/>
      <c r="D19" s="232"/>
      <c r="E19" s="233"/>
      <c r="F19" s="231"/>
      <c r="G19" s="232"/>
      <c r="H19" s="232"/>
      <c r="I19" s="233"/>
      <c r="J19" s="231"/>
      <c r="K19" s="232"/>
      <c r="L19" s="232"/>
      <c r="M19" s="233"/>
      <c r="N19" s="5"/>
    </row>
    <row r="20" spans="2:14" x14ac:dyDescent="0.3">
      <c r="B20" s="231"/>
      <c r="C20" s="232"/>
      <c r="D20" s="232"/>
      <c r="E20" s="233"/>
      <c r="F20" s="231"/>
      <c r="G20" s="232"/>
      <c r="H20" s="232"/>
      <c r="I20" s="233"/>
      <c r="J20" s="231"/>
      <c r="K20" s="232"/>
      <c r="L20" s="232"/>
      <c r="M20" s="233"/>
      <c r="N20" s="5"/>
    </row>
    <row r="21" spans="2:14" x14ac:dyDescent="0.3">
      <c r="B21" s="231"/>
      <c r="C21" s="232"/>
      <c r="D21" s="232"/>
      <c r="E21" s="233"/>
      <c r="F21" s="231"/>
      <c r="G21" s="232"/>
      <c r="H21" s="232"/>
      <c r="I21" s="233"/>
      <c r="J21" s="231"/>
      <c r="K21" s="232"/>
      <c r="L21" s="232"/>
      <c r="M21" s="233"/>
      <c r="N21" s="5"/>
    </row>
    <row r="22" spans="2:14" x14ac:dyDescent="0.3">
      <c r="B22" s="231"/>
      <c r="C22" s="232"/>
      <c r="D22" s="232"/>
      <c r="E22" s="233"/>
      <c r="F22" s="231"/>
      <c r="G22" s="232"/>
      <c r="H22" s="232"/>
      <c r="I22" s="233"/>
      <c r="J22" s="231"/>
      <c r="K22" s="232"/>
      <c r="L22" s="232"/>
      <c r="M22" s="233"/>
      <c r="N22" s="5"/>
    </row>
    <row r="23" spans="2:14" x14ac:dyDescent="0.3">
      <c r="B23" s="231"/>
      <c r="C23" s="232"/>
      <c r="D23" s="232"/>
      <c r="E23" s="233"/>
      <c r="F23" s="231"/>
      <c r="G23" s="232"/>
      <c r="H23" s="232"/>
      <c r="I23" s="233"/>
      <c r="J23" s="231"/>
      <c r="K23" s="232"/>
      <c r="L23" s="232"/>
      <c r="M23" s="233"/>
      <c r="N23" s="5"/>
    </row>
    <row r="24" spans="2:14" x14ac:dyDescent="0.3">
      <c r="B24" s="231"/>
      <c r="C24" s="232"/>
      <c r="D24" s="232"/>
      <c r="E24" s="233"/>
      <c r="F24" s="231"/>
      <c r="G24" s="232"/>
      <c r="H24" s="232"/>
      <c r="I24" s="233"/>
      <c r="J24" s="231"/>
      <c r="K24" s="232"/>
      <c r="L24" s="232"/>
      <c r="M24" s="233"/>
      <c r="N24" s="5"/>
    </row>
    <row r="25" spans="2:14" x14ac:dyDescent="0.3">
      <c r="B25" s="231"/>
      <c r="C25" s="232"/>
      <c r="D25" s="232"/>
      <c r="E25" s="233"/>
      <c r="F25" s="231"/>
      <c r="G25" s="232"/>
      <c r="H25" s="232"/>
      <c r="I25" s="233"/>
      <c r="J25" s="231"/>
      <c r="K25" s="232"/>
      <c r="L25" s="232"/>
      <c r="M25" s="233"/>
      <c r="N25" s="5"/>
    </row>
    <row r="26" spans="2:14" x14ac:dyDescent="0.3">
      <c r="B26" s="231"/>
      <c r="C26" s="232"/>
      <c r="D26" s="232"/>
      <c r="E26" s="233"/>
      <c r="F26" s="231"/>
      <c r="G26" s="232"/>
      <c r="H26" s="232"/>
      <c r="I26" s="233"/>
      <c r="J26" s="231"/>
      <c r="K26" s="232"/>
      <c r="L26" s="232"/>
      <c r="M26" s="233"/>
      <c r="N26" s="5"/>
    </row>
    <row r="27" spans="2:14" x14ac:dyDescent="0.3">
      <c r="B27" s="231"/>
      <c r="C27" s="232"/>
      <c r="D27" s="232"/>
      <c r="E27" s="233"/>
      <c r="F27" s="231"/>
      <c r="G27" s="232"/>
      <c r="H27" s="232"/>
      <c r="I27" s="233"/>
      <c r="J27" s="231"/>
      <c r="K27" s="232"/>
      <c r="L27" s="232"/>
      <c r="M27" s="233"/>
      <c r="N27" s="5"/>
    </row>
    <row r="28" spans="2:14" x14ac:dyDescent="0.3">
      <c r="B28" s="231"/>
      <c r="C28" s="232"/>
      <c r="D28" s="232"/>
      <c r="E28" s="233"/>
      <c r="F28" s="231"/>
      <c r="G28" s="232"/>
      <c r="H28" s="232"/>
      <c r="I28" s="233"/>
      <c r="J28" s="231"/>
      <c r="K28" s="232"/>
      <c r="L28" s="232"/>
      <c r="M28" s="233"/>
      <c r="N28" s="5"/>
    </row>
    <row r="29" spans="2:14" x14ac:dyDescent="0.3">
      <c r="B29" s="231"/>
      <c r="C29" s="232"/>
      <c r="D29" s="232"/>
      <c r="E29" s="233"/>
      <c r="F29" s="231"/>
      <c r="G29" s="232"/>
      <c r="H29" s="232"/>
      <c r="I29" s="233"/>
      <c r="J29" s="231"/>
      <c r="K29" s="232"/>
      <c r="L29" s="232"/>
      <c r="M29" s="233"/>
      <c r="N29" s="5"/>
    </row>
    <row r="30" spans="2:14" x14ac:dyDescent="0.3">
      <c r="B30" s="231"/>
      <c r="C30" s="232"/>
      <c r="D30" s="232"/>
      <c r="E30" s="233"/>
      <c r="F30" s="231"/>
      <c r="G30" s="232"/>
      <c r="H30" s="232"/>
      <c r="I30" s="233"/>
      <c r="J30" s="231"/>
      <c r="K30" s="232"/>
      <c r="L30" s="232"/>
      <c r="M30" s="233"/>
      <c r="N30" s="5"/>
    </row>
    <row r="31" spans="2:14" x14ac:dyDescent="0.3">
      <c r="B31" s="231"/>
      <c r="C31" s="232"/>
      <c r="D31" s="232"/>
      <c r="E31" s="233"/>
      <c r="F31" s="231"/>
      <c r="G31" s="232"/>
      <c r="H31" s="232"/>
      <c r="I31" s="233"/>
      <c r="J31" s="231"/>
      <c r="K31" s="232"/>
      <c r="L31" s="232"/>
      <c r="M31" s="233"/>
      <c r="N31" s="5"/>
    </row>
    <row r="32" spans="2:14" x14ac:dyDescent="0.3">
      <c r="B32" s="231"/>
      <c r="C32" s="232"/>
      <c r="D32" s="232"/>
      <c r="E32" s="233"/>
      <c r="F32" s="231"/>
      <c r="G32" s="232"/>
      <c r="H32" s="232"/>
      <c r="I32" s="233"/>
      <c r="J32" s="231"/>
      <c r="K32" s="232"/>
      <c r="L32" s="232"/>
      <c r="M32" s="233"/>
      <c r="N32" s="5"/>
    </row>
    <row r="33" spans="2:14" x14ac:dyDescent="0.3">
      <c r="B33" s="231"/>
      <c r="C33" s="232"/>
      <c r="D33" s="232"/>
      <c r="E33" s="233"/>
      <c r="F33" s="231"/>
      <c r="G33" s="232"/>
      <c r="H33" s="232"/>
      <c r="I33" s="233"/>
      <c r="J33" s="231"/>
      <c r="K33" s="232"/>
      <c r="L33" s="232"/>
      <c r="M33" s="233"/>
      <c r="N33" s="5"/>
    </row>
    <row r="34" spans="2:14" ht="15" thickBot="1" x14ac:dyDescent="0.35">
      <c r="B34" s="234"/>
      <c r="C34" s="235"/>
      <c r="D34" s="235"/>
      <c r="E34" s="236"/>
      <c r="F34" s="234"/>
      <c r="G34" s="235"/>
      <c r="H34" s="235"/>
      <c r="I34" s="236"/>
      <c r="J34" s="234"/>
      <c r="K34" s="235"/>
      <c r="L34" s="235"/>
      <c r="M34" s="236"/>
      <c r="N34" s="5"/>
    </row>
    <row r="35" spans="2:14" x14ac:dyDescent="0.3">
      <c r="B35" s="34" t="s">
        <v>146</v>
      </c>
      <c r="C35" s="34"/>
      <c r="D35" s="34"/>
      <c r="E35" s="34"/>
      <c r="F35" s="34"/>
      <c r="G35" s="34"/>
      <c r="H35" s="34"/>
      <c r="I35" s="34"/>
      <c r="J35" s="34"/>
      <c r="K35" s="34"/>
      <c r="L35" s="34"/>
      <c r="M35" s="34"/>
      <c r="N35" s="5"/>
    </row>
    <row r="36" spans="2:14" x14ac:dyDescent="0.3">
      <c r="B36" s="34"/>
      <c r="C36" s="34"/>
      <c r="D36" s="34"/>
      <c r="E36" s="34"/>
      <c r="F36" s="34"/>
      <c r="G36" s="34"/>
      <c r="H36" s="34"/>
      <c r="I36" s="34"/>
      <c r="J36" s="34"/>
      <c r="K36" s="34"/>
      <c r="L36" s="34"/>
      <c r="M36" s="34"/>
      <c r="N36" s="5"/>
    </row>
    <row r="37" spans="2:14" x14ac:dyDescent="0.3">
      <c r="B37" s="5"/>
      <c r="C37" s="5"/>
      <c r="D37" s="5"/>
      <c r="E37" s="5"/>
      <c r="F37" s="5"/>
      <c r="G37" s="5"/>
    </row>
    <row r="38" spans="2:14" x14ac:dyDescent="0.3">
      <c r="B38" s="5"/>
      <c r="C38" s="5"/>
      <c r="D38" s="5"/>
      <c r="E38" s="5"/>
      <c r="F38" s="5"/>
      <c r="G38" s="5"/>
    </row>
    <row r="39" spans="2:14" x14ac:dyDescent="0.3">
      <c r="B39" s="5"/>
      <c r="C39" s="5"/>
      <c r="D39" s="5"/>
      <c r="E39" s="5"/>
      <c r="F39" s="5"/>
      <c r="G39" s="5"/>
    </row>
  </sheetData>
  <mergeCells count="11">
    <mergeCell ref="B6:D6"/>
    <mergeCell ref="E6:M6"/>
    <mergeCell ref="B7:D9"/>
    <mergeCell ref="E7:M9"/>
    <mergeCell ref="H1:M3"/>
    <mergeCell ref="B11:E11"/>
    <mergeCell ref="F11:I11"/>
    <mergeCell ref="J11:M11"/>
    <mergeCell ref="B12:E34"/>
    <mergeCell ref="F12:I34"/>
    <mergeCell ref="J12:M34"/>
  </mergeCells>
  <conditionalFormatting sqref="B7">
    <cfRule type="cellIs" dxfId="12" priority="2" operator="greaterThan">
      <formula>3.5</formula>
    </cfRule>
    <cfRule type="cellIs" dxfId="11" priority="3" operator="between">
      <formula>2.4</formula>
      <formula>3.4</formula>
    </cfRule>
    <cfRule type="cellIs" dxfId="10" priority="4" operator="between">
      <formula>1.5</formula>
      <formula>2.3</formula>
    </cfRule>
    <cfRule type="cellIs" dxfId="9" priority="5" operator="lessThanOrEqual">
      <formula>1.4</formula>
    </cfRule>
  </conditionalFormatting>
  <conditionalFormatting sqref="D7:D9">
    <cfRule type="expression" priority="1">
      <formula>$B$7</formula>
    </cfRule>
  </conditionalFormatting>
  <pageMargins left="0.7" right="0.7" top="0.75" bottom="0.75" header="0.3" footer="0.3"/>
  <pageSetup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84"/>
  <sheetViews>
    <sheetView zoomScale="34" zoomScaleNormal="40" zoomScalePageLayoutView="70" workbookViewId="0">
      <selection activeCell="I32" sqref="I32"/>
    </sheetView>
  </sheetViews>
  <sheetFormatPr defaultColWidth="8.77734375" defaultRowHeight="14.4" x14ac:dyDescent="0.3"/>
  <cols>
    <col min="1" max="1" width="17.21875" style="7" bestFit="1" customWidth="1"/>
    <col min="2" max="2" width="55.21875" style="7" customWidth="1"/>
    <col min="3" max="3" width="32.21875" style="7" bestFit="1" customWidth="1"/>
    <col min="4" max="4" width="13.21875" style="7" bestFit="1" customWidth="1"/>
    <col min="5" max="5" width="27.5546875" style="7" bestFit="1" customWidth="1"/>
    <col min="6" max="7" width="8.77734375" style="7"/>
    <col min="8" max="8" width="195.33203125" style="7" bestFit="1" customWidth="1"/>
    <col min="9" max="9" width="27.6640625" style="7" bestFit="1" customWidth="1"/>
    <col min="10" max="16384" width="8.77734375" style="7"/>
  </cols>
  <sheetData>
    <row r="1" spans="1:10" x14ac:dyDescent="0.3">
      <c r="A1" s="169" t="s">
        <v>230</v>
      </c>
      <c r="B1" s="169"/>
      <c r="C1" s="169"/>
      <c r="D1" s="169"/>
      <c r="E1" s="169"/>
      <c r="F1" s="169"/>
      <c r="G1" s="169"/>
      <c r="H1" s="169"/>
      <c r="I1" s="169"/>
      <c r="J1" s="169"/>
    </row>
    <row r="2" spans="1:10" x14ac:dyDescent="0.3">
      <c r="A2" s="29"/>
      <c r="B2" s="29"/>
      <c r="C2" s="29"/>
      <c r="D2" s="29"/>
      <c r="E2" s="29"/>
      <c r="F2" s="29"/>
      <c r="G2" s="29"/>
      <c r="H2" s="29"/>
      <c r="I2" s="29"/>
      <c r="J2" s="29"/>
    </row>
    <row r="3" spans="1:10" x14ac:dyDescent="0.3">
      <c r="I3" s="7" t="s">
        <v>89</v>
      </c>
    </row>
    <row r="4" spans="1:10" x14ac:dyDescent="0.3">
      <c r="A4" s="166" t="s">
        <v>159</v>
      </c>
      <c r="B4" s="226" t="s">
        <v>154</v>
      </c>
      <c r="C4" s="7" t="s">
        <v>155</v>
      </c>
      <c r="D4" s="7" t="s">
        <v>53</v>
      </c>
      <c r="E4" s="7" t="s">
        <v>54</v>
      </c>
      <c r="F4" s="7" t="s">
        <v>160</v>
      </c>
      <c r="G4" s="12">
        <v>1</v>
      </c>
      <c r="I4" s="18"/>
    </row>
    <row r="5" spans="1:10" x14ac:dyDescent="0.3">
      <c r="A5" s="166"/>
      <c r="B5" s="226"/>
      <c r="C5" s="7" t="s">
        <v>156</v>
      </c>
      <c r="D5" s="7" t="s">
        <v>68</v>
      </c>
      <c r="E5" s="7" t="s">
        <v>114</v>
      </c>
      <c r="F5" s="7" t="s">
        <v>161</v>
      </c>
      <c r="G5" s="10">
        <v>2</v>
      </c>
      <c r="H5" s="7" t="s">
        <v>416</v>
      </c>
      <c r="I5" s="18" t="str">
        <f>IFERROR(VLOOKUP('Answer Sheet'!O14,F5:G7,2,FALSE),"0")</f>
        <v>0</v>
      </c>
    </row>
    <row r="6" spans="1:10" x14ac:dyDescent="0.3">
      <c r="C6" s="7" t="s">
        <v>157</v>
      </c>
      <c r="D6" s="7" t="s">
        <v>80</v>
      </c>
      <c r="E6" s="7" t="s">
        <v>81</v>
      </c>
      <c r="F6" s="7" t="s">
        <v>162</v>
      </c>
      <c r="G6" s="37">
        <v>3</v>
      </c>
      <c r="H6" s="7" t="s">
        <v>417</v>
      </c>
      <c r="I6" s="18" t="str">
        <f>IFERROR(VLOOKUP('Answer Sheet'!P14,F5:G7,2,FALSE),"0")</f>
        <v>0</v>
      </c>
    </row>
    <row r="7" spans="1:10" x14ac:dyDescent="0.3">
      <c r="C7" s="7" t="s">
        <v>158</v>
      </c>
      <c r="D7" s="7" t="s">
        <v>80</v>
      </c>
      <c r="E7" s="7" t="s">
        <v>81</v>
      </c>
      <c r="F7" s="7" t="s">
        <v>163</v>
      </c>
      <c r="G7" s="37">
        <v>3</v>
      </c>
      <c r="H7" s="7" t="s">
        <v>418</v>
      </c>
      <c r="I7" s="18" t="str">
        <f>IFERROR(VLOOKUP('Answer Sheet'!Q14,F5:G7,2,FALSE),"0")</f>
        <v>0</v>
      </c>
    </row>
    <row r="8" spans="1:10" x14ac:dyDescent="0.3">
      <c r="A8" s="38"/>
      <c r="B8" s="39"/>
      <c r="G8" s="35"/>
    </row>
    <row r="9" spans="1:10" ht="14.55" customHeight="1" x14ac:dyDescent="0.3">
      <c r="A9" s="227" t="s">
        <v>164</v>
      </c>
      <c r="B9" s="226" t="s">
        <v>169</v>
      </c>
      <c r="C9" s="7" t="s">
        <v>115</v>
      </c>
      <c r="D9" s="7" t="s">
        <v>53</v>
      </c>
      <c r="E9" s="7" t="s">
        <v>54</v>
      </c>
      <c r="F9" s="7" t="s">
        <v>165</v>
      </c>
      <c r="G9" s="12">
        <v>1</v>
      </c>
      <c r="I9" s="18" t="str">
        <f>IFERROR(VLOOKUP('Answer Sheet'!O15,F9:G11,2,FALSE),"0")</f>
        <v>0</v>
      </c>
    </row>
    <row r="10" spans="1:10" x14ac:dyDescent="0.3">
      <c r="A10" s="227"/>
      <c r="B10" s="226"/>
      <c r="C10" s="7" t="s">
        <v>52</v>
      </c>
      <c r="D10" s="7" t="s">
        <v>71</v>
      </c>
      <c r="E10" s="7" t="s">
        <v>114</v>
      </c>
      <c r="F10" s="7" t="s">
        <v>166</v>
      </c>
      <c r="G10" s="10">
        <v>2</v>
      </c>
      <c r="H10" s="7" t="s">
        <v>419</v>
      </c>
      <c r="I10" s="18"/>
    </row>
    <row r="11" spans="1:10" x14ac:dyDescent="0.3">
      <c r="A11" s="227"/>
      <c r="B11" s="226"/>
      <c r="C11" s="7" t="s">
        <v>116</v>
      </c>
      <c r="D11" s="7" t="s">
        <v>60</v>
      </c>
      <c r="E11" s="7" t="s">
        <v>168</v>
      </c>
      <c r="F11" s="7" t="s">
        <v>167</v>
      </c>
      <c r="G11" s="8">
        <v>4</v>
      </c>
      <c r="H11" s="7" t="s">
        <v>420</v>
      </c>
      <c r="I11" s="18"/>
    </row>
    <row r="12" spans="1:10" x14ac:dyDescent="0.3">
      <c r="A12" s="38"/>
      <c r="B12" s="39"/>
      <c r="G12" s="35"/>
      <c r="I12" s="18"/>
    </row>
    <row r="13" spans="1:10" x14ac:dyDescent="0.3">
      <c r="A13" s="227" t="s">
        <v>178</v>
      </c>
      <c r="B13" s="226" t="s">
        <v>177</v>
      </c>
      <c r="C13" s="58" t="s">
        <v>190</v>
      </c>
      <c r="D13" s="7" t="s">
        <v>80</v>
      </c>
      <c r="E13" s="7" t="s">
        <v>74</v>
      </c>
      <c r="F13" s="7" t="s">
        <v>179</v>
      </c>
      <c r="G13" s="8">
        <v>4</v>
      </c>
      <c r="H13" s="5" t="s">
        <v>421</v>
      </c>
      <c r="I13" s="59" t="str">
        <f>IFERROR(VLOOKUP('Answer Sheet'!O16,F13:G16,2,FALSE),"0")</f>
        <v>0</v>
      </c>
    </row>
    <row r="14" spans="1:10" x14ac:dyDescent="0.3">
      <c r="A14" s="227"/>
      <c r="B14" s="226"/>
      <c r="C14" s="7" t="s">
        <v>191</v>
      </c>
      <c r="D14" s="7" t="s">
        <v>80</v>
      </c>
      <c r="E14" s="7" t="s">
        <v>114</v>
      </c>
      <c r="F14" s="7" t="s">
        <v>181</v>
      </c>
      <c r="G14" s="10">
        <v>2</v>
      </c>
      <c r="H14" s="5" t="s">
        <v>422</v>
      </c>
      <c r="I14" s="59" t="str">
        <f>IFERROR(VLOOKUP('Answer Sheet'!P16,F13:G16,2,FALSE),"0")</f>
        <v>0</v>
      </c>
    </row>
    <row r="15" spans="1:10" x14ac:dyDescent="0.3">
      <c r="A15" s="227"/>
      <c r="B15" s="226"/>
      <c r="C15" s="7" t="s">
        <v>192</v>
      </c>
      <c r="D15" s="7" t="s">
        <v>80</v>
      </c>
      <c r="E15" s="7" t="s">
        <v>114</v>
      </c>
      <c r="F15" s="7" t="s">
        <v>182</v>
      </c>
      <c r="G15" s="37">
        <v>3</v>
      </c>
      <c r="H15" s="5" t="s">
        <v>423</v>
      </c>
      <c r="I15" s="59" t="str">
        <f>IFERROR(VLOOKUP('Answer Sheet'!Q16,F13:G16,2,FALSE),"0")</f>
        <v>0</v>
      </c>
    </row>
    <row r="16" spans="1:10" ht="14.55" customHeight="1" x14ac:dyDescent="0.3">
      <c r="A16" s="227"/>
      <c r="B16" s="226"/>
      <c r="C16" s="7" t="s">
        <v>460</v>
      </c>
      <c r="D16" s="7" t="s">
        <v>180</v>
      </c>
      <c r="E16" s="7" t="s">
        <v>54</v>
      </c>
      <c r="F16" s="7" t="s">
        <v>183</v>
      </c>
      <c r="G16" s="12">
        <v>1</v>
      </c>
      <c r="H16" s="5"/>
      <c r="I16" s="59" t="str">
        <f>IFERROR(VLOOKUP('Answer Sheet'!R16,F13:G16,2,FALSE),"0")</f>
        <v>0</v>
      </c>
    </row>
    <row r="17" spans="1:9" x14ac:dyDescent="0.3">
      <c r="G17" s="36"/>
      <c r="I17" s="18"/>
    </row>
    <row r="18" spans="1:9" x14ac:dyDescent="0.3">
      <c r="A18" s="227" t="s">
        <v>184</v>
      </c>
      <c r="B18" s="253" t="s">
        <v>388</v>
      </c>
      <c r="C18" s="7" t="s">
        <v>188</v>
      </c>
      <c r="D18" s="7" t="s">
        <v>71</v>
      </c>
      <c r="E18" s="7" t="s">
        <v>114</v>
      </c>
      <c r="F18" s="7" t="s">
        <v>185</v>
      </c>
      <c r="G18" s="10">
        <v>2</v>
      </c>
      <c r="H18" s="7" t="s">
        <v>424</v>
      </c>
      <c r="I18" s="18" t="str">
        <f>IFERROR(VLOOKUP('Answer Sheet'!O17,F18:G20,2,FALSE),"0")</f>
        <v>0</v>
      </c>
    </row>
    <row r="19" spans="1:9" x14ac:dyDescent="0.3">
      <c r="A19" s="227"/>
      <c r="B19" s="253"/>
      <c r="C19" s="7" t="s">
        <v>187</v>
      </c>
      <c r="D19" s="7" t="s">
        <v>60</v>
      </c>
      <c r="E19" s="7" t="s">
        <v>87</v>
      </c>
      <c r="F19" s="7" t="s">
        <v>186</v>
      </c>
      <c r="G19" s="8">
        <v>4</v>
      </c>
      <c r="H19" s="7" t="s">
        <v>425</v>
      </c>
      <c r="I19" s="18"/>
    </row>
    <row r="20" spans="1:9" x14ac:dyDescent="0.3">
      <c r="A20" s="227"/>
      <c r="B20" s="253"/>
      <c r="C20" s="7" t="s">
        <v>78</v>
      </c>
      <c r="D20" s="7" t="s">
        <v>180</v>
      </c>
      <c r="E20" s="7" t="s">
        <v>54</v>
      </c>
      <c r="F20" s="7" t="s">
        <v>189</v>
      </c>
      <c r="G20" s="12">
        <v>1</v>
      </c>
      <c r="I20" s="18"/>
    </row>
    <row r="21" spans="1:9" x14ac:dyDescent="0.3">
      <c r="I21" s="18"/>
    </row>
    <row r="22" spans="1:9" x14ac:dyDescent="0.3">
      <c r="A22" s="227" t="s">
        <v>193</v>
      </c>
      <c r="B22" s="227" t="s">
        <v>202</v>
      </c>
      <c r="C22" s="7" t="s">
        <v>115</v>
      </c>
      <c r="D22" s="7" t="s">
        <v>180</v>
      </c>
      <c r="E22" s="7" t="s">
        <v>54</v>
      </c>
      <c r="F22" s="7" t="s">
        <v>197</v>
      </c>
      <c r="G22" s="12">
        <v>1</v>
      </c>
      <c r="I22" s="18" t="str">
        <f>IF(I18=2,VLOOKUP('Answer Sheet'!O18,F22:G25,2,FALSE),"0")</f>
        <v>0</v>
      </c>
    </row>
    <row r="23" spans="1:9" ht="14.55" customHeight="1" x14ac:dyDescent="0.3">
      <c r="A23" s="227"/>
      <c r="B23" s="227"/>
      <c r="C23" s="7" t="s">
        <v>194</v>
      </c>
      <c r="D23" s="7" t="s">
        <v>68</v>
      </c>
      <c r="E23" s="7" t="s">
        <v>69</v>
      </c>
      <c r="F23" s="7" t="s">
        <v>198</v>
      </c>
      <c r="G23" s="12">
        <v>1</v>
      </c>
      <c r="H23" s="7" t="str">
        <f>IF(I18=2,"","")&amp;IF(I18=4,"Hazard - Supporting a weight up to 5lbs while frequently outstretched. Consider changing the workstation/job design.","")</f>
        <v/>
      </c>
      <c r="I23" s="18"/>
    </row>
    <row r="24" spans="1:9" ht="14.55" customHeight="1" x14ac:dyDescent="0.3">
      <c r="A24" s="227"/>
      <c r="B24" s="227"/>
      <c r="C24" s="7" t="s">
        <v>195</v>
      </c>
      <c r="D24" s="7" t="s">
        <v>71</v>
      </c>
      <c r="E24" s="7" t="s">
        <v>114</v>
      </c>
      <c r="F24" s="7" t="s">
        <v>199</v>
      </c>
      <c r="G24" s="10">
        <v>2</v>
      </c>
      <c r="H24" s="7" t="s">
        <v>427</v>
      </c>
      <c r="I24" s="18"/>
    </row>
    <row r="25" spans="1:9" ht="14.55" customHeight="1" x14ac:dyDescent="0.3">
      <c r="A25" s="227"/>
      <c r="B25" s="227"/>
      <c r="C25" s="7" t="s">
        <v>196</v>
      </c>
      <c r="D25" s="7" t="s">
        <v>80</v>
      </c>
      <c r="E25" s="7" t="s">
        <v>81</v>
      </c>
      <c r="F25" s="7" t="s">
        <v>200</v>
      </c>
      <c r="G25" s="35">
        <v>3</v>
      </c>
      <c r="H25" s="7" t="s">
        <v>428</v>
      </c>
      <c r="I25" s="18"/>
    </row>
    <row r="26" spans="1:9" x14ac:dyDescent="0.3">
      <c r="A26" s="40"/>
      <c r="B26" s="40"/>
      <c r="G26" s="35"/>
      <c r="I26" s="18"/>
    </row>
    <row r="27" spans="1:9" x14ac:dyDescent="0.3">
      <c r="A27" s="227" t="s">
        <v>193</v>
      </c>
      <c r="B27" s="227" t="s">
        <v>201</v>
      </c>
      <c r="C27" s="7" t="s">
        <v>115</v>
      </c>
      <c r="D27" s="7" t="s">
        <v>180</v>
      </c>
      <c r="E27" s="7" t="s">
        <v>54</v>
      </c>
      <c r="F27" s="7" t="s">
        <v>197</v>
      </c>
      <c r="G27" s="12">
        <v>1</v>
      </c>
      <c r="I27" s="18" t="str">
        <f>IFERROR(IF(I18=2,"0",VLOOKUP('Answer Sheet'!O18,F27:G30,2,FALSE)),"0")</f>
        <v>0</v>
      </c>
    </row>
    <row r="28" spans="1:9" x14ac:dyDescent="0.3">
      <c r="A28" s="227"/>
      <c r="B28" s="227"/>
      <c r="C28" s="7" t="s">
        <v>194</v>
      </c>
      <c r="D28" s="7" t="s">
        <v>71</v>
      </c>
      <c r="E28" s="7" t="s">
        <v>114</v>
      </c>
      <c r="F28" s="7" t="s">
        <v>198</v>
      </c>
      <c r="G28" s="10">
        <v>2</v>
      </c>
      <c r="H28" s="7" t="s">
        <v>432</v>
      </c>
      <c r="I28" s="18"/>
    </row>
    <row r="29" spans="1:9" x14ac:dyDescent="0.3">
      <c r="A29" s="227"/>
      <c r="B29" s="227"/>
      <c r="C29" s="7" t="s">
        <v>195</v>
      </c>
      <c r="D29" s="7" t="s">
        <v>71</v>
      </c>
      <c r="E29" s="7" t="s">
        <v>74</v>
      </c>
      <c r="F29" s="7" t="s">
        <v>199</v>
      </c>
      <c r="G29" s="37">
        <v>3</v>
      </c>
      <c r="H29" s="7" t="s">
        <v>431</v>
      </c>
      <c r="I29" s="19"/>
    </row>
    <row r="30" spans="1:9" x14ac:dyDescent="0.3">
      <c r="A30" s="227"/>
      <c r="B30" s="227"/>
      <c r="C30" s="7" t="s">
        <v>196</v>
      </c>
      <c r="D30" s="7" t="s">
        <v>60</v>
      </c>
      <c r="E30" s="7" t="s">
        <v>87</v>
      </c>
      <c r="F30" s="7" t="s">
        <v>200</v>
      </c>
      <c r="G30" s="8">
        <v>4</v>
      </c>
      <c r="H30" s="7" t="s">
        <v>430</v>
      </c>
    </row>
    <row r="31" spans="1:9" s="5" customFormat="1" x14ac:dyDescent="0.3">
      <c r="A31" s="62"/>
      <c r="B31" s="62"/>
      <c r="G31" s="31"/>
    </row>
    <row r="32" spans="1:9" s="5" customFormat="1" x14ac:dyDescent="0.3">
      <c r="A32" s="254" t="s">
        <v>203</v>
      </c>
      <c r="B32" s="254" t="s">
        <v>343</v>
      </c>
      <c r="C32" s="5" t="s">
        <v>204</v>
      </c>
      <c r="D32" s="5" t="s">
        <v>180</v>
      </c>
      <c r="E32" s="5" t="s">
        <v>54</v>
      </c>
      <c r="F32" s="5" t="s">
        <v>205</v>
      </c>
      <c r="G32" s="12">
        <v>1</v>
      </c>
      <c r="I32" s="31" t="str">
        <f>IFERROR(VLOOKUP('Answer Sheet'!O19,F32:G35,2,FALSE),"0")</f>
        <v>0</v>
      </c>
    </row>
    <row r="33" spans="1:9" s="5" customFormat="1" x14ac:dyDescent="0.3">
      <c r="A33" s="254"/>
      <c r="B33" s="254"/>
      <c r="C33" s="5" t="s">
        <v>208</v>
      </c>
      <c r="D33" s="5" t="s">
        <v>68</v>
      </c>
      <c r="E33" s="5" t="s">
        <v>114</v>
      </c>
      <c r="F33" s="5" t="s">
        <v>206</v>
      </c>
      <c r="G33" s="10">
        <v>2</v>
      </c>
      <c r="H33" s="5" t="s">
        <v>433</v>
      </c>
      <c r="I33" s="31" t="str">
        <f>IFERROR(VLOOKUP('Answer Sheet'!Q19,F32:G35,2,FALSE),"0")</f>
        <v>0</v>
      </c>
    </row>
    <row r="34" spans="1:9" s="5" customFormat="1" x14ac:dyDescent="0.3">
      <c r="A34" s="254"/>
      <c r="B34" s="254"/>
      <c r="C34" s="5" t="s">
        <v>209</v>
      </c>
      <c r="D34" s="5" t="s">
        <v>60</v>
      </c>
      <c r="E34" s="5" t="s">
        <v>74</v>
      </c>
      <c r="F34" s="5" t="s">
        <v>207</v>
      </c>
      <c r="G34" s="8">
        <v>4</v>
      </c>
      <c r="H34" s="5" t="s">
        <v>434</v>
      </c>
      <c r="I34" s="31" t="str">
        <f>IFERROR(VLOOKUP('Answer Sheet'!S19,F32:G35,2,FALSE),"0")</f>
        <v>0</v>
      </c>
    </row>
    <row r="35" spans="1:9" s="5" customFormat="1" x14ac:dyDescent="0.3">
      <c r="A35" s="254"/>
      <c r="B35" s="254"/>
      <c r="G35" s="31"/>
    </row>
    <row r="36" spans="1:9" s="5" customFormat="1" x14ac:dyDescent="0.3">
      <c r="A36" s="254" t="s">
        <v>210</v>
      </c>
      <c r="B36" s="254" t="s">
        <v>217</v>
      </c>
      <c r="C36" s="5" t="s">
        <v>211</v>
      </c>
      <c r="D36" s="5" t="s">
        <v>53</v>
      </c>
      <c r="E36" s="5" t="s">
        <v>54</v>
      </c>
      <c r="F36" s="5" t="s">
        <v>214</v>
      </c>
      <c r="G36" s="12">
        <v>1</v>
      </c>
      <c r="I36" s="63" t="str">
        <f>IFERROR(VLOOKUP('Answer Sheet'!O20,F36:G38,2,FALSE),"0")</f>
        <v>0</v>
      </c>
    </row>
    <row r="37" spans="1:9" s="5" customFormat="1" x14ac:dyDescent="0.3">
      <c r="A37" s="254"/>
      <c r="B37" s="254"/>
      <c r="C37" s="5" t="s">
        <v>212</v>
      </c>
      <c r="D37" s="5" t="s">
        <v>71</v>
      </c>
      <c r="E37" s="5" t="s">
        <v>58</v>
      </c>
      <c r="F37" s="5" t="s">
        <v>215</v>
      </c>
      <c r="G37" s="37">
        <v>3</v>
      </c>
      <c r="H37" s="5" t="s">
        <v>435</v>
      </c>
    </row>
    <row r="38" spans="1:9" s="5" customFormat="1" x14ac:dyDescent="0.3">
      <c r="A38" s="254"/>
      <c r="B38" s="254"/>
      <c r="C38" s="5" t="s">
        <v>213</v>
      </c>
      <c r="D38" s="5" t="s">
        <v>60</v>
      </c>
      <c r="E38" s="5" t="s">
        <v>87</v>
      </c>
      <c r="F38" s="5" t="s">
        <v>216</v>
      </c>
      <c r="G38" s="8">
        <v>4</v>
      </c>
      <c r="H38" s="5" t="s">
        <v>493</v>
      </c>
    </row>
    <row r="39" spans="1:9" s="5" customFormat="1" x14ac:dyDescent="0.3">
      <c r="A39" s="62"/>
      <c r="B39" s="62"/>
      <c r="G39" s="31"/>
    </row>
    <row r="40" spans="1:9" s="5" customFormat="1" x14ac:dyDescent="0.3">
      <c r="A40" s="254" t="s">
        <v>218</v>
      </c>
      <c r="B40" s="254" t="s">
        <v>219</v>
      </c>
      <c r="C40" s="5" t="s">
        <v>211</v>
      </c>
      <c r="D40" s="5" t="s">
        <v>53</v>
      </c>
      <c r="E40" s="5" t="s">
        <v>54</v>
      </c>
      <c r="F40" s="5" t="s">
        <v>222</v>
      </c>
      <c r="G40" s="12">
        <v>1</v>
      </c>
      <c r="I40" s="63" t="str">
        <f>IFERROR(VLOOKUP('Answer Sheet'!O21,F40:G42,2,FALSE),"0")</f>
        <v>0</v>
      </c>
    </row>
    <row r="41" spans="1:9" s="5" customFormat="1" x14ac:dyDescent="0.3">
      <c r="A41" s="254"/>
      <c r="B41" s="254"/>
      <c r="C41" s="5" t="s">
        <v>220</v>
      </c>
      <c r="D41" s="5" t="s">
        <v>71</v>
      </c>
      <c r="E41" s="5" t="s">
        <v>114</v>
      </c>
      <c r="F41" s="5" t="s">
        <v>223</v>
      </c>
      <c r="G41" s="10">
        <v>2</v>
      </c>
      <c r="H41" s="5" t="s">
        <v>436</v>
      </c>
    </row>
    <row r="42" spans="1:9" x14ac:dyDescent="0.3">
      <c r="A42" s="254"/>
      <c r="B42" s="254"/>
      <c r="C42" s="5" t="s">
        <v>221</v>
      </c>
      <c r="D42" s="5" t="s">
        <v>60</v>
      </c>
      <c r="E42" s="5" t="s">
        <v>87</v>
      </c>
      <c r="F42" s="5" t="s">
        <v>224</v>
      </c>
      <c r="G42" s="8">
        <v>4</v>
      </c>
      <c r="H42" s="5" t="s">
        <v>437</v>
      </c>
    </row>
    <row r="44" spans="1:9" x14ac:dyDescent="0.3">
      <c r="A44" s="227" t="s">
        <v>225</v>
      </c>
      <c r="B44" s="227" t="s">
        <v>226</v>
      </c>
      <c r="C44" s="7" t="s">
        <v>116</v>
      </c>
      <c r="D44" s="7" t="s">
        <v>53</v>
      </c>
      <c r="E44" s="7" t="s">
        <v>54</v>
      </c>
      <c r="F44" s="7" t="s">
        <v>227</v>
      </c>
      <c r="G44" s="12">
        <v>1</v>
      </c>
      <c r="I44" s="23" t="str">
        <f>IFERROR(VLOOKUP('Answer Sheet'!O22,F44:G46,2,FALSE),"0")</f>
        <v>0</v>
      </c>
    </row>
    <row r="45" spans="1:9" x14ac:dyDescent="0.3">
      <c r="A45" s="227"/>
      <c r="B45" s="227"/>
      <c r="C45" s="7" t="s">
        <v>52</v>
      </c>
      <c r="D45" s="7" t="s">
        <v>71</v>
      </c>
      <c r="E45" s="7" t="s">
        <v>114</v>
      </c>
      <c r="F45" s="7" t="s">
        <v>228</v>
      </c>
      <c r="G45" s="10">
        <v>2</v>
      </c>
      <c r="H45" s="7" t="s">
        <v>438</v>
      </c>
    </row>
    <row r="46" spans="1:9" x14ac:dyDescent="0.3">
      <c r="A46" s="227"/>
      <c r="B46" s="227"/>
      <c r="C46" s="7" t="s">
        <v>115</v>
      </c>
      <c r="D46" s="7" t="s">
        <v>60</v>
      </c>
      <c r="E46" s="7" t="s">
        <v>81</v>
      </c>
      <c r="F46" s="7" t="s">
        <v>229</v>
      </c>
      <c r="G46" s="37">
        <v>3</v>
      </c>
      <c r="H46" s="7" t="s">
        <v>439</v>
      </c>
    </row>
    <row r="52" spans="1:10" x14ac:dyDescent="0.3">
      <c r="A52" s="225" t="s">
        <v>96</v>
      </c>
      <c r="B52" s="225"/>
      <c r="C52" s="225"/>
      <c r="D52" s="225"/>
      <c r="E52" s="225"/>
      <c r="F52" s="225"/>
      <c r="G52" s="225"/>
      <c r="H52" s="225"/>
      <c r="I52" s="225"/>
      <c r="J52" s="225"/>
    </row>
    <row r="54" spans="1:10" x14ac:dyDescent="0.3">
      <c r="A54" s="23" t="s">
        <v>94</v>
      </c>
      <c r="B54" s="14" t="s">
        <v>95</v>
      </c>
      <c r="C54" s="14"/>
      <c r="D54" s="14"/>
      <c r="E54" s="14"/>
      <c r="F54" s="14"/>
      <c r="G54" s="14"/>
      <c r="H54" s="14"/>
      <c r="I54" s="14"/>
      <c r="J54" s="14"/>
    </row>
    <row r="55" spans="1:10" x14ac:dyDescent="0.3">
      <c r="A55" s="15">
        <v>1</v>
      </c>
      <c r="B55" s="7" t="s">
        <v>151</v>
      </c>
      <c r="I55" s="18">
        <f>SUM(I4:I44)</f>
        <v>0</v>
      </c>
    </row>
    <row r="56" spans="1:10" x14ac:dyDescent="0.3">
      <c r="A56" s="15">
        <v>1.2</v>
      </c>
      <c r="B56" s="7" t="s">
        <v>151</v>
      </c>
      <c r="I56" s="18">
        <f>COUNTIF(I5:I44,"&gt;0.9")</f>
        <v>0</v>
      </c>
    </row>
    <row r="57" spans="1:10" x14ac:dyDescent="0.3">
      <c r="A57" s="15">
        <v>1.3</v>
      </c>
      <c r="B57" s="7" t="s">
        <v>151</v>
      </c>
      <c r="H57" s="13" t="s">
        <v>91</v>
      </c>
      <c r="I57" s="18" t="str">
        <f>IFERROR(ROUND(I55/I56,1),"0")</f>
        <v>0</v>
      </c>
    </row>
    <row r="58" spans="1:10" x14ac:dyDescent="0.3">
      <c r="A58" s="15">
        <v>1.4</v>
      </c>
      <c r="B58" s="7" t="s">
        <v>151</v>
      </c>
    </row>
    <row r="59" spans="1:10" x14ac:dyDescent="0.3">
      <c r="A59" s="17">
        <v>1.5</v>
      </c>
      <c r="B59" s="7" t="s">
        <v>152</v>
      </c>
    </row>
    <row r="60" spans="1:10" x14ac:dyDescent="0.3">
      <c r="A60" s="17">
        <v>1.6</v>
      </c>
      <c r="B60" s="7" t="s">
        <v>152</v>
      </c>
    </row>
    <row r="61" spans="1:10" x14ac:dyDescent="0.3">
      <c r="A61" s="17">
        <v>1.7</v>
      </c>
      <c r="B61" s="7" t="s">
        <v>152</v>
      </c>
    </row>
    <row r="62" spans="1:10" x14ac:dyDescent="0.3">
      <c r="A62" s="17">
        <v>1.8</v>
      </c>
      <c r="B62" s="7" t="s">
        <v>152</v>
      </c>
    </row>
    <row r="63" spans="1:10" x14ac:dyDescent="0.3">
      <c r="A63" s="17">
        <v>1.9</v>
      </c>
      <c r="B63" s="7" t="s">
        <v>152</v>
      </c>
    </row>
    <row r="64" spans="1:10" x14ac:dyDescent="0.3">
      <c r="A64" s="17">
        <v>2</v>
      </c>
      <c r="B64" s="7" t="s">
        <v>152</v>
      </c>
    </row>
    <row r="65" spans="1:2" x14ac:dyDescent="0.3">
      <c r="A65" s="17">
        <v>2.1</v>
      </c>
      <c r="B65" s="7" t="s">
        <v>152</v>
      </c>
    </row>
    <row r="66" spans="1:2" x14ac:dyDescent="0.3">
      <c r="A66" s="17">
        <v>2.2000000000000002</v>
      </c>
      <c r="B66" s="7" t="s">
        <v>152</v>
      </c>
    </row>
    <row r="67" spans="1:2" x14ac:dyDescent="0.3">
      <c r="A67" s="17">
        <v>2.2999999999999998</v>
      </c>
      <c r="B67" s="7" t="s">
        <v>152</v>
      </c>
    </row>
    <row r="68" spans="1:2" x14ac:dyDescent="0.3">
      <c r="A68" s="11">
        <v>2.4</v>
      </c>
      <c r="B68" s="7" t="s">
        <v>153</v>
      </c>
    </row>
    <row r="69" spans="1:2" x14ac:dyDescent="0.3">
      <c r="A69" s="11">
        <v>2.5</v>
      </c>
      <c r="B69" s="7" t="s">
        <v>153</v>
      </c>
    </row>
    <row r="70" spans="1:2" x14ac:dyDescent="0.3">
      <c r="A70" s="11">
        <v>2.6</v>
      </c>
      <c r="B70" s="7" t="s">
        <v>153</v>
      </c>
    </row>
    <row r="71" spans="1:2" x14ac:dyDescent="0.3">
      <c r="A71" s="11">
        <v>2.7</v>
      </c>
      <c r="B71" s="7" t="s">
        <v>153</v>
      </c>
    </row>
    <row r="72" spans="1:2" x14ac:dyDescent="0.3">
      <c r="A72" s="11">
        <v>2.8</v>
      </c>
      <c r="B72" s="7" t="s">
        <v>153</v>
      </c>
    </row>
    <row r="73" spans="1:2" x14ac:dyDescent="0.3">
      <c r="A73" s="11">
        <v>2.9</v>
      </c>
      <c r="B73" s="7" t="s">
        <v>153</v>
      </c>
    </row>
    <row r="74" spans="1:2" x14ac:dyDescent="0.3">
      <c r="A74" s="11">
        <v>3</v>
      </c>
      <c r="B74" s="7" t="s">
        <v>153</v>
      </c>
    </row>
    <row r="75" spans="1:2" x14ac:dyDescent="0.3">
      <c r="A75" s="11">
        <v>3.1</v>
      </c>
      <c r="B75" s="7" t="s">
        <v>153</v>
      </c>
    </row>
    <row r="76" spans="1:2" x14ac:dyDescent="0.3">
      <c r="A76" s="11">
        <v>3.2</v>
      </c>
      <c r="B76" s="7" t="s">
        <v>153</v>
      </c>
    </row>
    <row r="77" spans="1:2" x14ac:dyDescent="0.3">
      <c r="A77" s="11">
        <v>3.3</v>
      </c>
      <c r="B77" s="7" t="s">
        <v>153</v>
      </c>
    </row>
    <row r="78" spans="1:2" x14ac:dyDescent="0.3">
      <c r="A78" s="11">
        <v>3.4</v>
      </c>
      <c r="B78" s="7" t="s">
        <v>153</v>
      </c>
    </row>
    <row r="79" spans="1:2" x14ac:dyDescent="0.3">
      <c r="A79" s="16">
        <v>3.5</v>
      </c>
      <c r="B79" s="7" t="s">
        <v>105</v>
      </c>
    </row>
    <row r="80" spans="1:2" x14ac:dyDescent="0.3">
      <c r="A80" s="16">
        <v>3.6</v>
      </c>
      <c r="B80" s="7" t="s">
        <v>105</v>
      </c>
    </row>
    <row r="81" spans="1:2" x14ac:dyDescent="0.3">
      <c r="A81" s="16">
        <v>3.7</v>
      </c>
      <c r="B81" s="7" t="s">
        <v>105</v>
      </c>
    </row>
    <row r="82" spans="1:2" x14ac:dyDescent="0.3">
      <c r="A82" s="16">
        <v>3.8</v>
      </c>
      <c r="B82" s="7" t="s">
        <v>105</v>
      </c>
    </row>
    <row r="83" spans="1:2" x14ac:dyDescent="0.3">
      <c r="A83" s="16">
        <v>3.9</v>
      </c>
      <c r="B83" s="7" t="s">
        <v>105</v>
      </c>
    </row>
    <row r="84" spans="1:2" x14ac:dyDescent="0.3">
      <c r="A84" s="16">
        <v>4</v>
      </c>
      <c r="B84" s="7" t="s">
        <v>105</v>
      </c>
    </row>
  </sheetData>
  <mergeCells count="22">
    <mergeCell ref="B36:B38"/>
    <mergeCell ref="A36:A38"/>
    <mergeCell ref="B40:B42"/>
    <mergeCell ref="A40:A42"/>
    <mergeCell ref="B44:B46"/>
    <mergeCell ref="A44:A46"/>
    <mergeCell ref="A52:J52"/>
    <mergeCell ref="B9:B11"/>
    <mergeCell ref="A9:A11"/>
    <mergeCell ref="A1:J1"/>
    <mergeCell ref="A4:A5"/>
    <mergeCell ref="B4:B5"/>
    <mergeCell ref="B13:B16"/>
    <mergeCell ref="A13:A16"/>
    <mergeCell ref="B18:B20"/>
    <mergeCell ref="A18:A20"/>
    <mergeCell ref="B27:B30"/>
    <mergeCell ref="B22:B25"/>
    <mergeCell ref="A22:A25"/>
    <mergeCell ref="A27:A30"/>
    <mergeCell ref="B32:B35"/>
    <mergeCell ref="A32:A35"/>
  </mergeCells>
  <conditionalFormatting sqref="G25">
    <cfRule type="cellIs" dxfId="8" priority="1" operator="equal">
      <formula>3</formula>
    </cfRule>
  </conditionalFormatting>
  <pageMargins left="0.7" right="0.7" top="0.75" bottom="0.75" header="0.3" footer="0.3"/>
  <pageSetup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72"/>
  <sheetViews>
    <sheetView showGridLines="0" showRuler="0" view="pageLayout" zoomScale="81" zoomScaleNormal="100" zoomScalePageLayoutView="81" workbookViewId="0">
      <selection activeCell="J11" sqref="J11:M33"/>
    </sheetView>
  </sheetViews>
  <sheetFormatPr defaultColWidth="8.77734375" defaultRowHeight="14.4" x14ac:dyDescent="0.3"/>
  <cols>
    <col min="1" max="1" width="8.77734375" style="7"/>
    <col min="2" max="2" width="8.77734375" style="7" customWidth="1"/>
    <col min="3" max="16384" width="8.77734375" style="7"/>
  </cols>
  <sheetData>
    <row r="1" spans="1:14" ht="31.5" customHeight="1" x14ac:dyDescent="0.45">
      <c r="C1" s="41"/>
      <c r="D1" s="41"/>
      <c r="E1" s="44"/>
      <c r="F1" s="44"/>
      <c r="G1" s="44"/>
      <c r="H1" s="194" t="s">
        <v>172</v>
      </c>
      <c r="I1" s="196"/>
      <c r="J1" s="196"/>
      <c r="K1" s="196"/>
      <c r="L1" s="196"/>
      <c r="M1" s="196"/>
      <c r="N1" s="41"/>
    </row>
    <row r="2" spans="1:14" s="27" customFormat="1" ht="23.4" x14ac:dyDescent="0.3">
      <c r="C2" s="42"/>
      <c r="D2" s="42"/>
      <c r="E2" s="43"/>
      <c r="F2" s="43"/>
      <c r="G2" s="43"/>
      <c r="H2" s="196"/>
      <c r="I2" s="196"/>
      <c r="J2" s="196"/>
      <c r="K2" s="196"/>
      <c r="L2" s="196"/>
      <c r="M2" s="196"/>
      <c r="N2" s="42"/>
    </row>
    <row r="3" spans="1:14" s="27" customFormat="1" ht="8.6999999999999993" customHeight="1" x14ac:dyDescent="0.3">
      <c r="C3" s="42"/>
      <c r="D3" s="42"/>
      <c r="E3" s="43"/>
      <c r="F3" s="43"/>
      <c r="G3" s="43"/>
      <c r="H3" s="43"/>
      <c r="I3" s="43"/>
      <c r="J3" s="43"/>
      <c r="K3" s="43"/>
      <c r="L3" s="43"/>
      <c r="M3" s="43"/>
      <c r="N3" s="42"/>
    </row>
    <row r="4" spans="1:14" ht="14.55" customHeight="1" x14ac:dyDescent="0.3">
      <c r="A4" s="42"/>
      <c r="B4" s="42"/>
      <c r="C4" s="42"/>
      <c r="D4" s="42"/>
      <c r="E4" s="42"/>
      <c r="F4" s="42"/>
      <c r="G4" s="42"/>
      <c r="H4" s="42"/>
      <c r="I4" s="42"/>
      <c r="J4" s="42"/>
      <c r="K4" s="42"/>
      <c r="L4" s="42"/>
      <c r="M4" s="42"/>
      <c r="N4" s="42"/>
    </row>
    <row r="5" spans="1:14" ht="14.55" customHeight="1" x14ac:dyDescent="0.3">
      <c r="B5" s="195" t="s">
        <v>170</v>
      </c>
      <c r="C5" s="195"/>
      <c r="D5" s="195"/>
      <c r="E5" s="162" t="s">
        <v>171</v>
      </c>
      <c r="F5" s="162"/>
      <c r="G5" s="162"/>
      <c r="H5" s="162"/>
      <c r="I5" s="162"/>
      <c r="J5" s="162"/>
      <c r="K5" s="162"/>
      <c r="L5" s="162"/>
      <c r="M5" s="162"/>
      <c r="N5" s="14"/>
    </row>
    <row r="6" spans="1:14" ht="14.55" customHeight="1" x14ac:dyDescent="0.3">
      <c r="A6" s="32"/>
      <c r="B6" s="180" t="str">
        <f>'Matrix - Part 4'!I57</f>
        <v>0</v>
      </c>
      <c r="C6" s="180"/>
      <c r="D6" s="180"/>
      <c r="E6" s="181" t="e">
        <f>VLOOKUP(B6,'Matrix - Part 4'!A55:B84,2,FALSE)</f>
        <v>#N/A</v>
      </c>
      <c r="F6" s="181"/>
      <c r="G6" s="181"/>
      <c r="H6" s="181"/>
      <c r="I6" s="181"/>
      <c r="J6" s="181"/>
      <c r="K6" s="181"/>
      <c r="L6" s="181"/>
      <c r="M6" s="181"/>
      <c r="N6" s="14"/>
    </row>
    <row r="7" spans="1:14" ht="14.55" customHeight="1" x14ac:dyDescent="0.3">
      <c r="A7" s="32"/>
      <c r="B7" s="180"/>
      <c r="C7" s="180"/>
      <c r="D7" s="180"/>
      <c r="E7" s="181"/>
      <c r="F7" s="181"/>
      <c r="G7" s="181"/>
      <c r="H7" s="181"/>
      <c r="I7" s="181"/>
      <c r="J7" s="181"/>
      <c r="K7" s="181"/>
      <c r="L7" s="181"/>
      <c r="M7" s="181"/>
      <c r="N7" s="14"/>
    </row>
    <row r="8" spans="1:14" ht="14.55" customHeight="1" x14ac:dyDescent="0.3">
      <c r="A8" s="32"/>
      <c r="B8" s="180"/>
      <c r="C8" s="180"/>
      <c r="D8" s="180"/>
      <c r="E8" s="181"/>
      <c r="F8" s="181"/>
      <c r="G8" s="181"/>
      <c r="H8" s="181"/>
      <c r="I8" s="181"/>
      <c r="J8" s="181"/>
      <c r="K8" s="181"/>
      <c r="L8" s="181"/>
      <c r="M8" s="181"/>
      <c r="N8" s="14"/>
    </row>
    <row r="9" spans="1:14" ht="14.55" customHeight="1" x14ac:dyDescent="0.3">
      <c r="A9" s="32"/>
      <c r="B9" s="32"/>
      <c r="C9" s="32"/>
      <c r="D9" s="32"/>
      <c r="E9" s="33"/>
      <c r="F9" s="33"/>
      <c r="G9" s="33"/>
      <c r="H9" s="33"/>
      <c r="I9" s="33"/>
      <c r="J9" s="33"/>
      <c r="K9" s="33"/>
      <c r="L9" s="33"/>
      <c r="M9" s="33"/>
      <c r="N9" s="14"/>
    </row>
    <row r="10" spans="1:14" ht="14.55" customHeight="1" thickBot="1" x14ac:dyDescent="0.35">
      <c r="A10" s="32"/>
      <c r="B10" s="255" t="s">
        <v>144</v>
      </c>
      <c r="C10" s="255"/>
      <c r="D10" s="255"/>
      <c r="E10" s="255"/>
      <c r="F10" s="256" t="s">
        <v>143</v>
      </c>
      <c r="G10" s="256"/>
      <c r="H10" s="256"/>
      <c r="I10" s="256"/>
      <c r="J10" s="257" t="s">
        <v>176</v>
      </c>
      <c r="K10" s="257"/>
      <c r="L10" s="257"/>
      <c r="M10" s="257"/>
      <c r="N10" s="14"/>
    </row>
    <row r="11" spans="1:14" ht="15" customHeight="1" x14ac:dyDescent="0.3">
      <c r="B11" s="229" t="str">
        <f>TRIM(IFERROR(VLOOKUP('Matrix - Part 4'!I9,'Matrix - Part 4'!G11:H11,2,FALSE),"")&amp;CHAR(10)&amp;""&amp;CHAR(10)&amp;IFERROR(VLOOKUP('Matrix - Part 4'!I18,'Matrix - Part 4'!G19:H19,2,FALSE),"")&amp;CHAR(10)&amp;""&amp;CHAR(10)&amp;IFERROR(VLOOKUP('Matrix - Part 4'!I13,'Matrix - Part 4'!G13:H13,2,FALSE),"")&amp;CHAR(10)&amp;""&amp;CHAR(10)&amp;IFERROR(VLOOKUP('Matrix - Part 4'!I14,'Matrix - Part 4'!G13:H13,2,FALSE),"")&amp;CHAR(10)&amp;""&amp;CHAR(10)&amp;IFERROR(VLOOKUP('Matrix - Part 4'!I15,'Matrix - Part 4'!G13:H13,2,FALSE),"")&amp;CHAR(10)&amp;""&amp;CHAR(10)&amp;IFERROR(VLOOKUP('Matrix - Part 4'!I27,'Matrix - Part 4'!G30:H30,2,FALSE),"")&amp;CHAR(10)&amp;""&amp;CHAR(10)&amp;IFERROR(VLOOKUP('Matrix - Part 4'!I32,'Matrix - Part 4'!G34:H34,2,FALSE),"")&amp;CHAR(10)&amp;""&amp;CHAR(10)&amp;IFERROR(VLOOKUP('Matrix - Part 4'!I33,'Matrix - Part 4'!G34:H34,2,FALSE),"")&amp;CHAR(10)&amp;""&amp;CHAR(10)&amp;IFERROR(VLOOKUP('Matrix - Part 4'!I36,'Matrix - Part 4'!G38:H38,2,FALSE),"")&amp;CHAR(10)&amp;""&amp;CHAR(10)&amp;IFERROR(VLOOKUP('Matrix - Part 4'!I40,'Matrix - Part 4'!G42:H42,2,FALSE),"")&amp;CHAR(10)&amp;""&amp;CHAR(10)&amp;IFERROR(VLOOKUP('Matrix - Part 4'!I44,'Matrix - Part 4'!G46:H46,2,FALSE),""))</f>
        <v xml:space="preserve">
</v>
      </c>
      <c r="C11" s="229"/>
      <c r="D11" s="229"/>
      <c r="E11" s="229"/>
      <c r="F11" s="228" t="str">
        <f>IFERROR(VLOOKUP('Matrix - Part 4'!I6,'Matrix - Part 4'!G5:H7,2,FALSE),"")&amp;CHAR(10)&amp;""&amp;CHAR(10)&amp;IFERROR(VLOOKUP('Matrix - Part 4'!I7,'Matrix - Part 4'!G5:H7,2,FALSE),"")&amp;CHAR(10)&amp;""&amp;CHAR(10)&amp;IFERROR(VLOOKUP('Matrix - Part 4'!I13,'Matrix - Part 4'!G15:H15,2,FALSE),"")&amp;CHAR(10)&amp;""&amp;CHAR(10)&amp;IFERROR(VLOOKUP('Matrix - Part 4'!I14,'Matrix - Part 4'!G15:H15,2,FALSE),"")&amp;CHAR(10)&amp;""&amp;CHAR(10)&amp;IFERROR(VLOOKUP('Matrix - Part 4'!I15,'Matrix - Part 4'!G15:H15,2,FALSE),"")&amp;CHAR(10)&amp;""&amp;CHAR(10)&amp;IFERROR(VLOOKUP('Matrix - Part 4'!I22,'Matrix - Part 4'!G25:H25,2,FALSE),"")&amp;CHAR(10)&amp;""&amp;CHAR(10)&amp;IFERROR(VLOOKUP('Matrix - Part 4'!I27,'Matrix - Part 4'!G29:H29,2,FALSE),"")&amp;CHAR(10)&amp;""&amp;CHAR(10)&amp;IFERROR(VLOOKUP('Matrix - Part 4'!I36,'Matrix - Part 4'!G37:H37,2,FALSE),"")</f>
        <v xml:space="preserve">
</v>
      </c>
      <c r="G11" s="229"/>
      <c r="H11" s="229"/>
      <c r="I11" s="230"/>
      <c r="J11" s="228" t="str">
        <f>IFERROR(VLOOKUP('Matrix - Part 4'!I5,'Matrix - Part 4'!G5:H7,2,FALSE),"")&amp;CHAR(10)&amp;""&amp;CHAR(10)&amp;IFERROR(VLOOKUP('Matrix - Part 4'!I9,'Matrix - Part 4'!G10:H10,2,FALSE),"")&amp;CHAR(10)&amp;""&amp;CHAR(10)&amp;IFERROR(VLOOKUP('Matrix - Part 4'!I18,'Matrix - Part 4'!G18:H18,2,FALSE),"")&amp;CHAR(10)&amp;""&amp;CHAR(10)&amp;IFERROR(VLOOKUP('Matrix - Part 4'!I13,'Matrix - Part 4'!G14:H14,2,FALSE),"")&amp;CHAR(10)&amp;""&amp;CHAR(10)&amp;IFERROR(VLOOKUP('Matrix - Part 4'!I14,'Matrix - Part 4'!G14:H14,2,FALSE),"")&amp;CHAR(10)&amp;""&amp;CHAR(10)&amp;IFERROR(VLOOKUP('Matrix - Part 4'!I15,'Matrix - Part 4'!G14:H14,2,FALSE),"")&amp;CHAR(10)&amp;""&amp;CHAR(10)&amp;IFERROR(VLOOKUP('Matrix - Part 4'!I22,'Matrix - Part 4'!G24:H24,2,FALSE),"")&amp;CHAR(10)&amp;""&amp;CHAR(10)&amp;IFERROR(VLOOKUP('Matrix - Part 4'!I27,'Matrix - Part 4'!G28:H28,2,FALSE),"")&amp;CHAR(10)&amp;""&amp;CHAR(10)&amp;IFERROR(VLOOKUP('Matrix - Part 4'!I32,'Matrix - Part 4'!G33:H33,2,FALSE),"")&amp;CHAR(10)&amp;""&amp;CHAR(10)&amp;IFERROR(VLOOKUP('Matrix - Part 4'!I33,'Matrix - Part 4'!G33:H33,2,FALSE),"")&amp;CHAR(10)&amp;""&amp;CHAR(10)&amp;IFERROR(VLOOKUP('Matrix - Part 4'!I34,'Matrix - Part 4'!G33:H33,2,FALSE),"")&amp;CHAR(10)&amp;""&amp;CHAR(10)&amp;IFERROR(VLOOKUP('Matrix - Part 4'!I40,'Matrix - Part 4'!G41:H41,2,FALSE),"")&amp;CHAR(10)&amp;""&amp;CHAR(10)&amp;IFERROR(VLOOKUP('Matrix - Part 4'!I44,'Matrix - Part 4'!G45:H45,2,FALSE),"")</f>
        <v xml:space="preserve">
</v>
      </c>
      <c r="K11" s="229"/>
      <c r="L11" s="229"/>
      <c r="M11" s="230"/>
      <c r="N11" s="5"/>
    </row>
    <row r="12" spans="1:14" x14ac:dyDescent="0.3">
      <c r="B12" s="232"/>
      <c r="C12" s="232"/>
      <c r="D12" s="232"/>
      <c r="E12" s="232"/>
      <c r="F12" s="231"/>
      <c r="G12" s="232"/>
      <c r="H12" s="232"/>
      <c r="I12" s="233"/>
      <c r="J12" s="231"/>
      <c r="K12" s="232"/>
      <c r="L12" s="232"/>
      <c r="M12" s="233"/>
      <c r="N12" s="5"/>
    </row>
    <row r="13" spans="1:14" x14ac:dyDescent="0.3">
      <c r="B13" s="232"/>
      <c r="C13" s="232"/>
      <c r="D13" s="232"/>
      <c r="E13" s="232"/>
      <c r="F13" s="231"/>
      <c r="G13" s="232"/>
      <c r="H13" s="232"/>
      <c r="I13" s="233"/>
      <c r="J13" s="231"/>
      <c r="K13" s="232"/>
      <c r="L13" s="232"/>
      <c r="M13" s="233"/>
      <c r="N13" s="5"/>
    </row>
    <row r="14" spans="1:14" x14ac:dyDescent="0.3">
      <c r="B14" s="232"/>
      <c r="C14" s="232"/>
      <c r="D14" s="232"/>
      <c r="E14" s="232"/>
      <c r="F14" s="231"/>
      <c r="G14" s="232"/>
      <c r="H14" s="232"/>
      <c r="I14" s="233"/>
      <c r="J14" s="231"/>
      <c r="K14" s="232"/>
      <c r="L14" s="232"/>
      <c r="M14" s="233"/>
      <c r="N14" s="5"/>
    </row>
    <row r="15" spans="1:14" x14ac:dyDescent="0.3">
      <c r="B15" s="232"/>
      <c r="C15" s="232"/>
      <c r="D15" s="232"/>
      <c r="E15" s="232"/>
      <c r="F15" s="231"/>
      <c r="G15" s="232"/>
      <c r="H15" s="232"/>
      <c r="I15" s="233"/>
      <c r="J15" s="231"/>
      <c r="K15" s="232"/>
      <c r="L15" s="232"/>
      <c r="M15" s="233"/>
      <c r="N15" s="5"/>
    </row>
    <row r="16" spans="1:14" x14ac:dyDescent="0.3">
      <c r="B16" s="232"/>
      <c r="C16" s="232"/>
      <c r="D16" s="232"/>
      <c r="E16" s="232"/>
      <c r="F16" s="231"/>
      <c r="G16" s="232"/>
      <c r="H16" s="232"/>
      <c r="I16" s="233"/>
      <c r="J16" s="231"/>
      <c r="K16" s="232"/>
      <c r="L16" s="232"/>
      <c r="M16" s="233"/>
      <c r="N16" s="5"/>
    </row>
    <row r="17" spans="2:14" x14ac:dyDescent="0.3">
      <c r="B17" s="232"/>
      <c r="C17" s="232"/>
      <c r="D17" s="232"/>
      <c r="E17" s="232"/>
      <c r="F17" s="231"/>
      <c r="G17" s="232"/>
      <c r="H17" s="232"/>
      <c r="I17" s="233"/>
      <c r="J17" s="231"/>
      <c r="K17" s="232"/>
      <c r="L17" s="232"/>
      <c r="M17" s="233"/>
      <c r="N17" s="5"/>
    </row>
    <row r="18" spans="2:14" x14ac:dyDescent="0.3">
      <c r="B18" s="232"/>
      <c r="C18" s="232"/>
      <c r="D18" s="232"/>
      <c r="E18" s="232"/>
      <c r="F18" s="231"/>
      <c r="G18" s="232"/>
      <c r="H18" s="232"/>
      <c r="I18" s="233"/>
      <c r="J18" s="231"/>
      <c r="K18" s="232"/>
      <c r="L18" s="232"/>
      <c r="M18" s="233"/>
      <c r="N18" s="5"/>
    </row>
    <row r="19" spans="2:14" x14ac:dyDescent="0.3">
      <c r="B19" s="232"/>
      <c r="C19" s="232"/>
      <c r="D19" s="232"/>
      <c r="E19" s="232"/>
      <c r="F19" s="231"/>
      <c r="G19" s="232"/>
      <c r="H19" s="232"/>
      <c r="I19" s="233"/>
      <c r="J19" s="231"/>
      <c r="K19" s="232"/>
      <c r="L19" s="232"/>
      <c r="M19" s="233"/>
      <c r="N19" s="5"/>
    </row>
    <row r="20" spans="2:14" x14ac:dyDescent="0.3">
      <c r="B20" s="232"/>
      <c r="C20" s="232"/>
      <c r="D20" s="232"/>
      <c r="E20" s="232"/>
      <c r="F20" s="231"/>
      <c r="G20" s="232"/>
      <c r="H20" s="232"/>
      <c r="I20" s="233"/>
      <c r="J20" s="231"/>
      <c r="K20" s="232"/>
      <c r="L20" s="232"/>
      <c r="M20" s="233"/>
      <c r="N20" s="5"/>
    </row>
    <row r="21" spans="2:14" x14ac:dyDescent="0.3">
      <c r="B21" s="232"/>
      <c r="C21" s="232"/>
      <c r="D21" s="232"/>
      <c r="E21" s="232"/>
      <c r="F21" s="231"/>
      <c r="G21" s="232"/>
      <c r="H21" s="232"/>
      <c r="I21" s="233"/>
      <c r="J21" s="231"/>
      <c r="K21" s="232"/>
      <c r="L21" s="232"/>
      <c r="M21" s="233"/>
      <c r="N21" s="5"/>
    </row>
    <row r="22" spans="2:14" x14ac:dyDescent="0.3">
      <c r="B22" s="232"/>
      <c r="C22" s="232"/>
      <c r="D22" s="232"/>
      <c r="E22" s="232"/>
      <c r="F22" s="231"/>
      <c r="G22" s="232"/>
      <c r="H22" s="232"/>
      <c r="I22" s="233"/>
      <c r="J22" s="231"/>
      <c r="K22" s="232"/>
      <c r="L22" s="232"/>
      <c r="M22" s="233"/>
      <c r="N22" s="5"/>
    </row>
    <row r="23" spans="2:14" x14ac:dyDescent="0.3">
      <c r="B23" s="232"/>
      <c r="C23" s="232"/>
      <c r="D23" s="232"/>
      <c r="E23" s="232"/>
      <c r="F23" s="231"/>
      <c r="G23" s="232"/>
      <c r="H23" s="232"/>
      <c r="I23" s="233"/>
      <c r="J23" s="231"/>
      <c r="K23" s="232"/>
      <c r="L23" s="232"/>
      <c r="M23" s="233"/>
      <c r="N23" s="5"/>
    </row>
    <row r="24" spans="2:14" x14ac:dyDescent="0.3">
      <c r="B24" s="232"/>
      <c r="C24" s="232"/>
      <c r="D24" s="232"/>
      <c r="E24" s="232"/>
      <c r="F24" s="231"/>
      <c r="G24" s="232"/>
      <c r="H24" s="232"/>
      <c r="I24" s="233"/>
      <c r="J24" s="231"/>
      <c r="K24" s="232"/>
      <c r="L24" s="232"/>
      <c r="M24" s="233"/>
      <c r="N24" s="5"/>
    </row>
    <row r="25" spans="2:14" x14ac:dyDescent="0.3">
      <c r="B25" s="232"/>
      <c r="C25" s="232"/>
      <c r="D25" s="232"/>
      <c r="E25" s="232"/>
      <c r="F25" s="231"/>
      <c r="G25" s="232"/>
      <c r="H25" s="232"/>
      <c r="I25" s="233"/>
      <c r="J25" s="231"/>
      <c r="K25" s="232"/>
      <c r="L25" s="232"/>
      <c r="M25" s="233"/>
      <c r="N25" s="5"/>
    </row>
    <row r="26" spans="2:14" x14ac:dyDescent="0.3">
      <c r="B26" s="232"/>
      <c r="C26" s="232"/>
      <c r="D26" s="232"/>
      <c r="E26" s="232"/>
      <c r="F26" s="231"/>
      <c r="G26" s="232"/>
      <c r="H26" s="232"/>
      <c r="I26" s="233"/>
      <c r="J26" s="231"/>
      <c r="K26" s="232"/>
      <c r="L26" s="232"/>
      <c r="M26" s="233"/>
      <c r="N26" s="5"/>
    </row>
    <row r="27" spans="2:14" x14ac:dyDescent="0.3">
      <c r="B27" s="232"/>
      <c r="C27" s="232"/>
      <c r="D27" s="232"/>
      <c r="E27" s="232"/>
      <c r="F27" s="231"/>
      <c r="G27" s="232"/>
      <c r="H27" s="232"/>
      <c r="I27" s="233"/>
      <c r="J27" s="231"/>
      <c r="K27" s="232"/>
      <c r="L27" s="232"/>
      <c r="M27" s="233"/>
      <c r="N27" s="5"/>
    </row>
    <row r="28" spans="2:14" x14ac:dyDescent="0.3">
      <c r="B28" s="232"/>
      <c r="C28" s="232"/>
      <c r="D28" s="232"/>
      <c r="E28" s="232"/>
      <c r="F28" s="231"/>
      <c r="G28" s="232"/>
      <c r="H28" s="232"/>
      <c r="I28" s="233"/>
      <c r="J28" s="231"/>
      <c r="K28" s="232"/>
      <c r="L28" s="232"/>
      <c r="M28" s="233"/>
      <c r="N28" s="5"/>
    </row>
    <row r="29" spans="2:14" x14ac:dyDescent="0.3">
      <c r="B29" s="232"/>
      <c r="C29" s="232"/>
      <c r="D29" s="232"/>
      <c r="E29" s="232"/>
      <c r="F29" s="231"/>
      <c r="G29" s="232"/>
      <c r="H29" s="232"/>
      <c r="I29" s="233"/>
      <c r="J29" s="231"/>
      <c r="K29" s="232"/>
      <c r="L29" s="232"/>
      <c r="M29" s="233"/>
      <c r="N29" s="5"/>
    </row>
    <row r="30" spans="2:14" x14ac:dyDescent="0.3">
      <c r="B30" s="232"/>
      <c r="C30" s="232"/>
      <c r="D30" s="232"/>
      <c r="E30" s="232"/>
      <c r="F30" s="231"/>
      <c r="G30" s="232"/>
      <c r="H30" s="232"/>
      <c r="I30" s="233"/>
      <c r="J30" s="231"/>
      <c r="K30" s="232"/>
      <c r="L30" s="232"/>
      <c r="M30" s="233"/>
      <c r="N30" s="5"/>
    </row>
    <row r="31" spans="2:14" x14ac:dyDescent="0.3">
      <c r="B31" s="232"/>
      <c r="C31" s="232"/>
      <c r="D31" s="232"/>
      <c r="E31" s="232"/>
      <c r="F31" s="231"/>
      <c r="G31" s="232"/>
      <c r="H31" s="232"/>
      <c r="I31" s="233"/>
      <c r="J31" s="231"/>
      <c r="K31" s="232"/>
      <c r="L31" s="232"/>
      <c r="M31" s="233"/>
      <c r="N31" s="5"/>
    </row>
    <row r="32" spans="2:14" x14ac:dyDescent="0.3">
      <c r="B32" s="232"/>
      <c r="C32" s="232"/>
      <c r="D32" s="232"/>
      <c r="E32" s="232"/>
      <c r="F32" s="231"/>
      <c r="G32" s="232"/>
      <c r="H32" s="232"/>
      <c r="I32" s="233"/>
      <c r="J32" s="231"/>
      <c r="K32" s="232"/>
      <c r="L32" s="232"/>
      <c r="M32" s="233"/>
      <c r="N32" s="5"/>
    </row>
    <row r="33" spans="2:14" ht="15" thickBot="1" x14ac:dyDescent="0.35">
      <c r="B33" s="232"/>
      <c r="C33" s="232"/>
      <c r="D33" s="232"/>
      <c r="E33" s="232"/>
      <c r="F33" s="234"/>
      <c r="G33" s="235"/>
      <c r="H33" s="235"/>
      <c r="I33" s="236"/>
      <c r="J33" s="234"/>
      <c r="K33" s="235"/>
      <c r="L33" s="235"/>
      <c r="M33" s="236"/>
      <c r="N33" s="5"/>
    </row>
    <row r="34" spans="2:14" x14ac:dyDescent="0.3">
      <c r="B34" s="232"/>
      <c r="C34" s="232"/>
      <c r="D34" s="232"/>
      <c r="E34" s="232"/>
      <c r="F34" s="34"/>
      <c r="G34" s="34"/>
      <c r="H34" s="34"/>
      <c r="I34" s="34"/>
      <c r="J34" s="34"/>
      <c r="K34" s="34"/>
      <c r="L34" s="34"/>
      <c r="M34" s="34"/>
      <c r="N34" s="5"/>
    </row>
    <row r="35" spans="2:14" x14ac:dyDescent="0.3">
      <c r="B35" s="232"/>
      <c r="C35" s="232"/>
      <c r="D35" s="232"/>
      <c r="E35" s="232"/>
      <c r="F35" s="34"/>
      <c r="G35" s="34"/>
      <c r="H35" s="34"/>
      <c r="I35" s="34"/>
      <c r="J35" s="34"/>
      <c r="K35" s="34"/>
      <c r="L35" s="34"/>
      <c r="M35" s="34"/>
      <c r="N35" s="5"/>
    </row>
    <row r="36" spans="2:14" x14ac:dyDescent="0.3">
      <c r="B36" s="232"/>
      <c r="C36" s="232"/>
      <c r="D36" s="232"/>
      <c r="E36" s="232"/>
      <c r="F36" s="5"/>
      <c r="G36" s="5"/>
    </row>
    <row r="37" spans="2:14" x14ac:dyDescent="0.3">
      <c r="B37" s="232"/>
      <c r="C37" s="232"/>
      <c r="D37" s="232"/>
      <c r="E37" s="232"/>
      <c r="F37" s="5"/>
      <c r="G37" s="5"/>
    </row>
    <row r="38" spans="2:14" x14ac:dyDescent="0.3">
      <c r="B38" s="232"/>
      <c r="C38" s="232"/>
      <c r="D38" s="232"/>
      <c r="E38" s="232"/>
      <c r="F38" s="5"/>
      <c r="G38" s="5"/>
    </row>
    <row r="39" spans="2:14" x14ac:dyDescent="0.3">
      <c r="B39" s="232"/>
      <c r="C39" s="232"/>
      <c r="D39" s="232"/>
      <c r="E39" s="232"/>
    </row>
    <row r="40" spans="2:14" x14ac:dyDescent="0.3">
      <c r="B40" s="232"/>
      <c r="C40" s="232"/>
      <c r="D40" s="232"/>
      <c r="E40" s="232"/>
    </row>
    <row r="41" spans="2:14" x14ac:dyDescent="0.3">
      <c r="B41" s="232"/>
      <c r="C41" s="232"/>
      <c r="D41" s="232"/>
      <c r="E41" s="232"/>
    </row>
    <row r="42" spans="2:14" x14ac:dyDescent="0.3">
      <c r="B42" s="232"/>
      <c r="C42" s="232"/>
      <c r="D42" s="232"/>
      <c r="E42" s="232"/>
    </row>
    <row r="43" spans="2:14" x14ac:dyDescent="0.3">
      <c r="B43" s="232"/>
      <c r="C43" s="232"/>
      <c r="D43" s="232"/>
      <c r="E43" s="232"/>
    </row>
    <row r="44" spans="2:14" x14ac:dyDescent="0.3">
      <c r="B44" s="232"/>
      <c r="C44" s="232"/>
      <c r="D44" s="232"/>
      <c r="E44" s="232"/>
    </row>
    <row r="45" spans="2:14" x14ac:dyDescent="0.3">
      <c r="B45" s="232"/>
      <c r="C45" s="232"/>
      <c r="D45" s="232"/>
      <c r="E45" s="232"/>
    </row>
    <row r="46" spans="2:14" x14ac:dyDescent="0.3">
      <c r="B46" s="232"/>
      <c r="C46" s="232"/>
      <c r="D46" s="232"/>
      <c r="E46" s="232"/>
    </row>
    <row r="47" spans="2:14" x14ac:dyDescent="0.3">
      <c r="B47" s="232"/>
      <c r="C47" s="232"/>
      <c r="D47" s="232"/>
      <c r="E47" s="232"/>
    </row>
    <row r="48" spans="2:14" x14ac:dyDescent="0.3">
      <c r="B48" s="232"/>
      <c r="C48" s="232"/>
      <c r="D48" s="232"/>
      <c r="E48" s="232"/>
    </row>
    <row r="49" spans="2:5" x14ac:dyDescent="0.3">
      <c r="B49" s="232"/>
      <c r="C49" s="232"/>
      <c r="D49" s="232"/>
      <c r="E49" s="232"/>
    </row>
    <row r="50" spans="2:5" x14ac:dyDescent="0.3">
      <c r="B50" s="232"/>
      <c r="C50" s="232"/>
      <c r="D50" s="232"/>
      <c r="E50" s="232"/>
    </row>
    <row r="51" spans="2:5" x14ac:dyDescent="0.3">
      <c r="B51" s="232"/>
      <c r="C51" s="232"/>
      <c r="D51" s="232"/>
      <c r="E51" s="232"/>
    </row>
    <row r="52" spans="2:5" x14ac:dyDescent="0.3">
      <c r="B52" s="232"/>
      <c r="C52" s="232"/>
      <c r="D52" s="232"/>
      <c r="E52" s="232"/>
    </row>
    <row r="53" spans="2:5" x14ac:dyDescent="0.3">
      <c r="B53" s="232"/>
      <c r="C53" s="232"/>
      <c r="D53" s="232"/>
      <c r="E53" s="232"/>
    </row>
    <row r="54" spans="2:5" x14ac:dyDescent="0.3">
      <c r="B54" s="232"/>
      <c r="C54" s="232"/>
      <c r="D54" s="232"/>
      <c r="E54" s="232"/>
    </row>
    <row r="55" spans="2:5" x14ac:dyDescent="0.3">
      <c r="B55" s="232"/>
      <c r="C55" s="232"/>
      <c r="D55" s="232"/>
      <c r="E55" s="232"/>
    </row>
    <row r="56" spans="2:5" x14ac:dyDescent="0.3">
      <c r="B56" s="232"/>
      <c r="C56" s="232"/>
      <c r="D56" s="232"/>
      <c r="E56" s="232"/>
    </row>
    <row r="57" spans="2:5" x14ac:dyDescent="0.3">
      <c r="B57" s="232"/>
      <c r="C57" s="232"/>
      <c r="D57" s="232"/>
      <c r="E57" s="232"/>
    </row>
    <row r="58" spans="2:5" x14ac:dyDescent="0.3">
      <c r="B58" s="232"/>
      <c r="C58" s="232"/>
      <c r="D58" s="232"/>
      <c r="E58" s="232"/>
    </row>
    <row r="59" spans="2:5" x14ac:dyDescent="0.3">
      <c r="B59" s="232"/>
      <c r="C59" s="232"/>
      <c r="D59" s="232"/>
      <c r="E59" s="232"/>
    </row>
    <row r="60" spans="2:5" x14ac:dyDescent="0.3">
      <c r="B60" s="232"/>
      <c r="C60" s="232"/>
      <c r="D60" s="232"/>
      <c r="E60" s="232"/>
    </row>
    <row r="61" spans="2:5" x14ac:dyDescent="0.3">
      <c r="B61" s="232"/>
      <c r="C61" s="232"/>
      <c r="D61" s="232"/>
      <c r="E61" s="232"/>
    </row>
    <row r="62" spans="2:5" x14ac:dyDescent="0.3">
      <c r="B62" s="232"/>
      <c r="C62" s="232"/>
      <c r="D62" s="232"/>
      <c r="E62" s="232"/>
    </row>
    <row r="63" spans="2:5" x14ac:dyDescent="0.3">
      <c r="B63" s="232"/>
      <c r="C63" s="232"/>
      <c r="D63" s="232"/>
      <c r="E63" s="232"/>
    </row>
    <row r="64" spans="2:5" x14ac:dyDescent="0.3">
      <c r="B64" s="232"/>
      <c r="C64" s="232"/>
      <c r="D64" s="232"/>
      <c r="E64" s="232"/>
    </row>
    <row r="65" spans="2:5" x14ac:dyDescent="0.3">
      <c r="B65" s="232"/>
      <c r="C65" s="232"/>
      <c r="D65" s="232"/>
      <c r="E65" s="232"/>
    </row>
    <row r="66" spans="2:5" x14ac:dyDescent="0.3">
      <c r="B66" s="232"/>
      <c r="C66" s="232"/>
      <c r="D66" s="232"/>
      <c r="E66" s="232"/>
    </row>
    <row r="67" spans="2:5" x14ac:dyDescent="0.3">
      <c r="B67" s="232"/>
      <c r="C67" s="232"/>
      <c r="D67" s="232"/>
      <c r="E67" s="232"/>
    </row>
    <row r="68" spans="2:5" x14ac:dyDescent="0.3">
      <c r="B68" s="232"/>
      <c r="C68" s="232"/>
      <c r="D68" s="232"/>
      <c r="E68" s="232"/>
    </row>
    <row r="69" spans="2:5" x14ac:dyDescent="0.3">
      <c r="B69" s="232"/>
      <c r="C69" s="232"/>
      <c r="D69" s="232"/>
      <c r="E69" s="232"/>
    </row>
    <row r="70" spans="2:5" x14ac:dyDescent="0.3">
      <c r="B70" s="232"/>
      <c r="C70" s="232"/>
      <c r="D70" s="232"/>
      <c r="E70" s="232"/>
    </row>
    <row r="71" spans="2:5" x14ac:dyDescent="0.3">
      <c r="B71" s="232"/>
      <c r="C71" s="232"/>
      <c r="D71" s="232"/>
      <c r="E71" s="232"/>
    </row>
    <row r="72" spans="2:5" x14ac:dyDescent="0.3">
      <c r="B72" s="232"/>
      <c r="C72" s="232"/>
      <c r="D72" s="232"/>
      <c r="E72" s="232"/>
    </row>
  </sheetData>
  <mergeCells count="11">
    <mergeCell ref="B5:D5"/>
    <mergeCell ref="E5:M5"/>
    <mergeCell ref="B6:D8"/>
    <mergeCell ref="E6:M8"/>
    <mergeCell ref="H1:M2"/>
    <mergeCell ref="B10:E10"/>
    <mergeCell ref="F10:I10"/>
    <mergeCell ref="J10:M10"/>
    <mergeCell ref="F11:I33"/>
    <mergeCell ref="J11:M33"/>
    <mergeCell ref="B11:E72"/>
  </mergeCells>
  <conditionalFormatting sqref="B6">
    <cfRule type="cellIs" dxfId="7" priority="1" operator="greaterThan">
      <formula>3.5</formula>
    </cfRule>
    <cfRule type="cellIs" dxfId="6" priority="2" operator="between">
      <formula>2.4</formula>
      <formula>3.4</formula>
    </cfRule>
    <cfRule type="cellIs" dxfId="5" priority="3" operator="between">
      <formula>1.5</formula>
      <formula>2.3</formula>
    </cfRule>
    <cfRule type="cellIs" dxfId="4" priority="4" operator="lessThanOrEqual">
      <formula>1.4</formula>
    </cfRule>
  </conditionalFormatting>
  <pageMargins left="0.7" right="0.7" top="0.75" bottom="0.75" header="0.3" footer="0.3"/>
  <pageSetup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J84"/>
  <sheetViews>
    <sheetView zoomScale="42" zoomScaleNormal="40" zoomScalePageLayoutView="70" workbookViewId="0">
      <selection activeCell="B47" sqref="B47"/>
    </sheetView>
  </sheetViews>
  <sheetFormatPr defaultColWidth="8.77734375" defaultRowHeight="14.4" x14ac:dyDescent="0.3"/>
  <cols>
    <col min="1" max="1" width="17.21875" style="7" bestFit="1" customWidth="1"/>
    <col min="2" max="2" width="55.21875" style="7" customWidth="1"/>
    <col min="3" max="3" width="32.21875" style="7" bestFit="1" customWidth="1"/>
    <col min="4" max="4" width="13.21875" style="7" bestFit="1" customWidth="1"/>
    <col min="5" max="5" width="27.5546875" style="7" bestFit="1" customWidth="1"/>
    <col min="6" max="7" width="8.77734375" style="7"/>
    <col min="8" max="8" width="195.33203125" style="7" bestFit="1" customWidth="1"/>
    <col min="9" max="9" width="27.6640625" style="7" bestFit="1" customWidth="1"/>
    <col min="10" max="16384" width="8.77734375" style="7"/>
  </cols>
  <sheetData>
    <row r="1" spans="1:10" x14ac:dyDescent="0.3">
      <c r="A1" s="169" t="s">
        <v>241</v>
      </c>
      <c r="B1" s="169"/>
      <c r="C1" s="169"/>
      <c r="D1" s="169"/>
      <c r="E1" s="169"/>
      <c r="F1" s="169"/>
      <c r="G1" s="169"/>
      <c r="H1" s="169"/>
      <c r="I1" s="169"/>
      <c r="J1" s="169"/>
    </row>
    <row r="2" spans="1:10" x14ac:dyDescent="0.3">
      <c r="A2" s="60"/>
      <c r="B2" s="60"/>
      <c r="C2" s="60"/>
      <c r="D2" s="60"/>
      <c r="E2" s="60"/>
      <c r="F2" s="60"/>
      <c r="G2" s="60"/>
      <c r="H2" s="60"/>
      <c r="I2" s="60"/>
      <c r="J2" s="60"/>
    </row>
    <row r="3" spans="1:10" x14ac:dyDescent="0.3">
      <c r="I3" s="7" t="s">
        <v>89</v>
      </c>
    </row>
    <row r="4" spans="1:10" ht="14.55" customHeight="1" x14ac:dyDescent="0.3">
      <c r="A4" s="254" t="s">
        <v>235</v>
      </c>
      <c r="B4" s="174" t="s">
        <v>231</v>
      </c>
      <c r="C4" s="5" t="s">
        <v>121</v>
      </c>
      <c r="D4" s="5" t="s">
        <v>180</v>
      </c>
      <c r="E4" s="5" t="s">
        <v>54</v>
      </c>
      <c r="F4" s="5" t="s">
        <v>236</v>
      </c>
      <c r="G4" s="9">
        <v>1</v>
      </c>
      <c r="H4" s="5"/>
      <c r="I4" s="18"/>
    </row>
    <row r="5" spans="1:10" x14ac:dyDescent="0.3">
      <c r="A5" s="254"/>
      <c r="B5" s="174"/>
      <c r="C5" s="5" t="s">
        <v>232</v>
      </c>
      <c r="D5" s="5" t="s">
        <v>68</v>
      </c>
      <c r="E5" s="5" t="s">
        <v>69</v>
      </c>
      <c r="F5" s="5" t="s">
        <v>237</v>
      </c>
      <c r="G5" s="9">
        <v>1</v>
      </c>
      <c r="H5" s="5"/>
      <c r="I5" s="18" t="str">
        <f>IFERROR(VLOOKUP('Answer Sheet'!U14,F4:G7,2,FALSE),"0")</f>
        <v>0</v>
      </c>
    </row>
    <row r="6" spans="1:10" x14ac:dyDescent="0.3">
      <c r="A6" s="254"/>
      <c r="B6" s="174"/>
      <c r="C6" s="5" t="s">
        <v>233</v>
      </c>
      <c r="D6" s="5" t="s">
        <v>68</v>
      </c>
      <c r="E6" s="5" t="s">
        <v>58</v>
      </c>
      <c r="F6" s="5" t="s">
        <v>238</v>
      </c>
      <c r="G6" s="10">
        <v>2</v>
      </c>
      <c r="H6" s="5" t="s">
        <v>242</v>
      </c>
      <c r="I6" s="18"/>
    </row>
    <row r="7" spans="1:10" x14ac:dyDescent="0.3">
      <c r="A7" s="254"/>
      <c r="B7" s="174"/>
      <c r="C7" s="5" t="s">
        <v>234</v>
      </c>
      <c r="D7" s="5" t="s">
        <v>80</v>
      </c>
      <c r="E7" s="5" t="s">
        <v>81</v>
      </c>
      <c r="F7" s="5" t="s">
        <v>239</v>
      </c>
      <c r="G7" s="37">
        <v>3</v>
      </c>
      <c r="H7" s="5" t="s">
        <v>240</v>
      </c>
      <c r="I7" s="18"/>
    </row>
    <row r="8" spans="1:10" x14ac:dyDescent="0.3">
      <c r="A8" s="67"/>
      <c r="B8" s="68"/>
      <c r="C8" s="5"/>
      <c r="D8" s="5"/>
      <c r="E8" s="5"/>
      <c r="F8" s="5"/>
      <c r="G8" s="35"/>
      <c r="H8" s="5"/>
    </row>
    <row r="9" spans="1:10" ht="14.55" customHeight="1" x14ac:dyDescent="0.3">
      <c r="A9" s="254" t="s">
        <v>243</v>
      </c>
      <c r="B9" s="174" t="s">
        <v>244</v>
      </c>
      <c r="C9" s="5" t="s">
        <v>121</v>
      </c>
      <c r="D9" s="5" t="s">
        <v>248</v>
      </c>
      <c r="E9" s="5" t="s">
        <v>54</v>
      </c>
      <c r="F9" s="5" t="s">
        <v>249</v>
      </c>
      <c r="G9" s="9">
        <v>1</v>
      </c>
      <c r="H9" s="5"/>
      <c r="I9" s="18" t="str">
        <f>IFERROR(VLOOKUP('Answer Sheet'!U15,F9:G13,2,FALSE),"0")</f>
        <v>0</v>
      </c>
    </row>
    <row r="10" spans="1:10" x14ac:dyDescent="0.3">
      <c r="A10" s="254"/>
      <c r="B10" s="174"/>
      <c r="C10" s="5" t="s">
        <v>245</v>
      </c>
      <c r="D10" s="5" t="s">
        <v>69</v>
      </c>
      <c r="E10" s="5" t="s">
        <v>71</v>
      </c>
      <c r="F10" s="5" t="s">
        <v>250</v>
      </c>
      <c r="G10" s="9">
        <v>1</v>
      </c>
      <c r="H10" s="5"/>
      <c r="I10" s="18"/>
    </row>
    <row r="11" spans="1:10" x14ac:dyDescent="0.3">
      <c r="A11" s="254"/>
      <c r="B11" s="174"/>
      <c r="C11" s="5" t="s">
        <v>246</v>
      </c>
      <c r="D11" s="5" t="s">
        <v>68</v>
      </c>
      <c r="E11" s="5" t="s">
        <v>58</v>
      </c>
      <c r="F11" s="5" t="s">
        <v>251</v>
      </c>
      <c r="G11" s="10">
        <v>2</v>
      </c>
      <c r="H11" s="5" t="s">
        <v>467</v>
      </c>
      <c r="I11" s="18"/>
    </row>
    <row r="12" spans="1:10" x14ac:dyDescent="0.3">
      <c r="A12" s="254"/>
      <c r="B12" s="174"/>
      <c r="C12" s="5" t="s">
        <v>247</v>
      </c>
      <c r="D12" s="5" t="s">
        <v>71</v>
      </c>
      <c r="E12" s="5" t="s">
        <v>81</v>
      </c>
      <c r="F12" s="5" t="s">
        <v>252</v>
      </c>
      <c r="G12" s="37">
        <v>3</v>
      </c>
      <c r="H12" s="5" t="s">
        <v>254</v>
      </c>
      <c r="I12" s="18"/>
    </row>
    <row r="13" spans="1:10" x14ac:dyDescent="0.3">
      <c r="A13" s="67"/>
      <c r="B13" s="68"/>
      <c r="C13" s="36"/>
      <c r="D13" s="5"/>
      <c r="E13" s="5"/>
      <c r="F13" s="5"/>
      <c r="G13" s="31"/>
      <c r="H13" s="5"/>
      <c r="I13" s="59"/>
    </row>
    <row r="14" spans="1:10" x14ac:dyDescent="0.3">
      <c r="A14" s="254" t="s">
        <v>255</v>
      </c>
      <c r="B14" s="174" t="s">
        <v>256</v>
      </c>
      <c r="C14" s="5" t="s">
        <v>121</v>
      </c>
      <c r="D14" s="5" t="s">
        <v>248</v>
      </c>
      <c r="E14" s="5" t="s">
        <v>54</v>
      </c>
      <c r="F14" s="5" t="s">
        <v>257</v>
      </c>
      <c r="G14" s="9">
        <v>1</v>
      </c>
      <c r="H14" s="5"/>
      <c r="I14" s="59" t="str">
        <f>IFERROR(VLOOKUP('Answer Sheet'!U16,F14:G17,2,FALSE),"0")</f>
        <v>0</v>
      </c>
    </row>
    <row r="15" spans="1:10" x14ac:dyDescent="0.3">
      <c r="A15" s="254"/>
      <c r="B15" s="174"/>
      <c r="C15" s="5" t="s">
        <v>245</v>
      </c>
      <c r="D15" s="5" t="s">
        <v>69</v>
      </c>
      <c r="E15" s="5" t="s">
        <v>71</v>
      </c>
      <c r="F15" s="5" t="s">
        <v>258</v>
      </c>
      <c r="G15" s="9">
        <v>1</v>
      </c>
      <c r="H15" s="5"/>
      <c r="I15" s="59"/>
    </row>
    <row r="16" spans="1:10" ht="14.55" customHeight="1" x14ac:dyDescent="0.3">
      <c r="A16" s="254"/>
      <c r="B16" s="174"/>
      <c r="C16" s="5" t="s">
        <v>246</v>
      </c>
      <c r="D16" s="5" t="s">
        <v>68</v>
      </c>
      <c r="E16" s="5" t="s">
        <v>58</v>
      </c>
      <c r="F16" s="5" t="s">
        <v>259</v>
      </c>
      <c r="G16" s="10">
        <v>2</v>
      </c>
      <c r="H16" s="5" t="s">
        <v>466</v>
      </c>
      <c r="I16" s="59"/>
    </row>
    <row r="17" spans="1:9" x14ac:dyDescent="0.3">
      <c r="A17" s="254"/>
      <c r="B17" s="174"/>
      <c r="C17" s="5" t="s">
        <v>247</v>
      </c>
      <c r="D17" s="5" t="s">
        <v>71</v>
      </c>
      <c r="E17" s="5" t="s">
        <v>81</v>
      </c>
      <c r="F17" s="5" t="s">
        <v>260</v>
      </c>
      <c r="G17" s="37">
        <v>3</v>
      </c>
      <c r="H17" s="5" t="s">
        <v>253</v>
      </c>
      <c r="I17" s="18"/>
    </row>
    <row r="18" spans="1:9" x14ac:dyDescent="0.3">
      <c r="A18" s="67"/>
      <c r="B18" s="67"/>
      <c r="C18" s="5"/>
      <c r="D18" s="5"/>
      <c r="E18" s="5"/>
      <c r="F18" s="5"/>
      <c r="G18" s="31"/>
      <c r="H18" s="5"/>
      <c r="I18" s="18"/>
    </row>
    <row r="19" spans="1:9" x14ac:dyDescent="0.3">
      <c r="A19" s="254" t="s">
        <v>261</v>
      </c>
      <c r="B19" s="254" t="s">
        <v>262</v>
      </c>
      <c r="C19" s="5" t="s">
        <v>267</v>
      </c>
      <c r="D19" s="5" t="s">
        <v>180</v>
      </c>
      <c r="E19" s="5" t="s">
        <v>54</v>
      </c>
      <c r="F19" s="5" t="s">
        <v>268</v>
      </c>
      <c r="G19" s="9">
        <v>1</v>
      </c>
      <c r="H19" s="5"/>
      <c r="I19" s="59" t="str">
        <f>IFERROR(VLOOKUP('Answer Sheet'!U17,F19:G23,2,FALSE),"0")</f>
        <v>0</v>
      </c>
    </row>
    <row r="20" spans="1:9" x14ac:dyDescent="0.3">
      <c r="A20" s="254"/>
      <c r="B20" s="254"/>
      <c r="C20" s="5" t="s">
        <v>263</v>
      </c>
      <c r="D20" s="5" t="s">
        <v>69</v>
      </c>
      <c r="E20" s="5" t="s">
        <v>68</v>
      </c>
      <c r="F20" s="5" t="s">
        <v>269</v>
      </c>
      <c r="G20" s="9">
        <v>1</v>
      </c>
      <c r="H20" s="5"/>
      <c r="I20" s="18"/>
    </row>
    <row r="21" spans="1:9" x14ac:dyDescent="0.3">
      <c r="A21" s="254"/>
      <c r="B21" s="254"/>
      <c r="C21" s="5" t="s">
        <v>264</v>
      </c>
      <c r="D21" s="5" t="s">
        <v>71</v>
      </c>
      <c r="E21" s="5" t="s">
        <v>114</v>
      </c>
      <c r="F21" s="5" t="s">
        <v>270</v>
      </c>
      <c r="G21" s="10">
        <v>2</v>
      </c>
      <c r="H21" s="5" t="s">
        <v>274</v>
      </c>
      <c r="I21" s="18"/>
    </row>
    <row r="22" spans="1:9" x14ac:dyDescent="0.3">
      <c r="A22" s="254"/>
      <c r="B22" s="254"/>
      <c r="C22" s="5" t="s">
        <v>265</v>
      </c>
      <c r="D22" s="5" t="s">
        <v>71</v>
      </c>
      <c r="E22" s="5" t="s">
        <v>81</v>
      </c>
      <c r="F22" s="5" t="s">
        <v>271</v>
      </c>
      <c r="G22" s="37">
        <v>3</v>
      </c>
      <c r="H22" s="5" t="s">
        <v>275</v>
      </c>
      <c r="I22" s="18"/>
    </row>
    <row r="23" spans="1:9" ht="14.55" customHeight="1" x14ac:dyDescent="0.3">
      <c r="A23" s="254"/>
      <c r="B23" s="254"/>
      <c r="C23" s="5" t="s">
        <v>266</v>
      </c>
      <c r="D23" s="5" t="s">
        <v>60</v>
      </c>
      <c r="E23" s="5" t="s">
        <v>272</v>
      </c>
      <c r="F23" s="5" t="s">
        <v>273</v>
      </c>
      <c r="G23" s="8">
        <v>4</v>
      </c>
      <c r="H23" s="5" t="s">
        <v>276</v>
      </c>
      <c r="I23" s="18"/>
    </row>
    <row r="24" spans="1:9" ht="14.55" customHeight="1" x14ac:dyDescent="0.3">
      <c r="A24" s="67"/>
      <c r="B24" s="67"/>
      <c r="C24" s="5"/>
      <c r="D24" s="5"/>
      <c r="E24" s="5"/>
      <c r="F24" s="5"/>
      <c r="G24" s="31"/>
      <c r="H24" s="5"/>
      <c r="I24" s="18"/>
    </row>
    <row r="25" spans="1:9" ht="14.55" customHeight="1" x14ac:dyDescent="0.3">
      <c r="A25" s="254" t="s">
        <v>277</v>
      </c>
      <c r="B25" s="254" t="s">
        <v>280</v>
      </c>
      <c r="C25" s="5" t="s">
        <v>278</v>
      </c>
      <c r="D25" s="5" t="s">
        <v>180</v>
      </c>
      <c r="E25" s="5" t="s">
        <v>54</v>
      </c>
      <c r="F25" s="5" t="s">
        <v>281</v>
      </c>
      <c r="G25" s="9">
        <v>1</v>
      </c>
      <c r="H25" s="5"/>
      <c r="I25" s="59" t="str">
        <f>IFERROR(VLOOKUP('Answer Sheet'!U18,F25:G27,2,FALSE),"0")</f>
        <v>0</v>
      </c>
    </row>
    <row r="26" spans="1:9" x14ac:dyDescent="0.3">
      <c r="A26" s="254"/>
      <c r="B26" s="254"/>
      <c r="C26" s="5" t="s">
        <v>232</v>
      </c>
      <c r="D26" s="5" t="s">
        <v>71</v>
      </c>
      <c r="E26" s="5" t="s">
        <v>114</v>
      </c>
      <c r="F26" s="5" t="s">
        <v>282</v>
      </c>
      <c r="G26" s="10">
        <v>2</v>
      </c>
      <c r="H26" s="5" t="s">
        <v>292</v>
      </c>
      <c r="I26" s="18"/>
    </row>
    <row r="27" spans="1:9" x14ac:dyDescent="0.3">
      <c r="A27" s="254"/>
      <c r="B27" s="254"/>
      <c r="C27" s="5" t="s">
        <v>279</v>
      </c>
      <c r="D27" s="5" t="s">
        <v>80</v>
      </c>
      <c r="E27" s="5" t="s">
        <v>81</v>
      </c>
      <c r="F27" s="5" t="s">
        <v>283</v>
      </c>
      <c r="G27" s="37">
        <v>3</v>
      </c>
      <c r="H27" s="5" t="s">
        <v>291</v>
      </c>
      <c r="I27" s="18"/>
    </row>
    <row r="28" spans="1:9" x14ac:dyDescent="0.3">
      <c r="A28" s="67"/>
      <c r="B28" s="67"/>
      <c r="C28" s="5"/>
      <c r="D28" s="5"/>
      <c r="E28" s="5"/>
      <c r="F28" s="5"/>
      <c r="G28" s="31"/>
      <c r="H28" s="5"/>
      <c r="I28" s="18"/>
    </row>
    <row r="29" spans="1:9" x14ac:dyDescent="0.3">
      <c r="A29" s="254" t="s">
        <v>284</v>
      </c>
      <c r="B29" s="254" t="s">
        <v>285</v>
      </c>
      <c r="C29" s="5" t="s">
        <v>278</v>
      </c>
      <c r="D29" s="5" t="s">
        <v>180</v>
      </c>
      <c r="E29" s="5" t="s">
        <v>54</v>
      </c>
      <c r="F29" s="5" t="s">
        <v>286</v>
      </c>
      <c r="G29" s="9">
        <v>1</v>
      </c>
      <c r="H29" s="5"/>
      <c r="I29" s="71" t="str">
        <f>IFERROR(VLOOKUP('Answer Sheet'!U19,F29:G31,2,FALSE),"0")</f>
        <v>0</v>
      </c>
    </row>
    <row r="30" spans="1:9" x14ac:dyDescent="0.3">
      <c r="A30" s="254"/>
      <c r="B30" s="254"/>
      <c r="C30" s="5" t="s">
        <v>232</v>
      </c>
      <c r="D30" s="5" t="s">
        <v>71</v>
      </c>
      <c r="E30" s="5" t="s">
        <v>114</v>
      </c>
      <c r="F30" s="5" t="s">
        <v>287</v>
      </c>
      <c r="G30" s="10">
        <v>2</v>
      </c>
      <c r="H30" s="5" t="s">
        <v>289</v>
      </c>
    </row>
    <row r="31" spans="1:9" s="5" customFormat="1" x14ac:dyDescent="0.3">
      <c r="A31" s="254"/>
      <c r="B31" s="254"/>
      <c r="C31" s="5" t="s">
        <v>279</v>
      </c>
      <c r="D31" s="5" t="s">
        <v>80</v>
      </c>
      <c r="E31" s="5" t="s">
        <v>81</v>
      </c>
      <c r="F31" s="5" t="s">
        <v>288</v>
      </c>
      <c r="G31" s="37">
        <v>3</v>
      </c>
      <c r="H31" s="5" t="s">
        <v>290</v>
      </c>
    </row>
    <row r="32" spans="1:9" s="5" customFormat="1" x14ac:dyDescent="0.3">
      <c r="A32" s="67"/>
      <c r="B32" s="67"/>
      <c r="G32" s="66"/>
      <c r="I32" s="31"/>
    </row>
    <row r="33" spans="1:9" s="5" customFormat="1" ht="14.55" customHeight="1" x14ac:dyDescent="0.3">
      <c r="A33" s="254" t="s">
        <v>293</v>
      </c>
      <c r="B33" s="254" t="s">
        <v>342</v>
      </c>
      <c r="C33" s="5" t="s">
        <v>65</v>
      </c>
      <c r="D33" s="5" t="s">
        <v>180</v>
      </c>
      <c r="E33" s="5" t="s">
        <v>54</v>
      </c>
      <c r="F33" s="5" t="s">
        <v>295</v>
      </c>
      <c r="G33" s="9">
        <v>1</v>
      </c>
      <c r="I33" s="31" t="str">
        <f>IFERROR(VLOOKUP('Answer Sheet'!U20,F33:G36,2,FALSE),"0")</f>
        <v>0</v>
      </c>
    </row>
    <row r="34" spans="1:9" s="5" customFormat="1" x14ac:dyDescent="0.3">
      <c r="A34" s="254"/>
      <c r="B34" s="254"/>
      <c r="C34" s="5" t="s">
        <v>84</v>
      </c>
      <c r="D34" s="5" t="s">
        <v>68</v>
      </c>
      <c r="E34" s="5" t="s">
        <v>114</v>
      </c>
      <c r="F34" s="5" t="s">
        <v>296</v>
      </c>
      <c r="G34" s="10">
        <v>2</v>
      </c>
      <c r="H34" s="5" t="s">
        <v>300</v>
      </c>
      <c r="I34" s="31"/>
    </row>
    <row r="35" spans="1:9" s="5" customFormat="1" x14ac:dyDescent="0.3">
      <c r="A35" s="254"/>
      <c r="B35" s="254"/>
      <c r="C35" s="5" t="s">
        <v>298</v>
      </c>
      <c r="D35" s="5" t="s">
        <v>57</v>
      </c>
      <c r="E35" s="5" t="s">
        <v>58</v>
      </c>
      <c r="F35" s="5" t="s">
        <v>297</v>
      </c>
      <c r="G35" s="37">
        <v>3</v>
      </c>
      <c r="H35" s="5" t="s">
        <v>301</v>
      </c>
    </row>
    <row r="36" spans="1:9" s="5" customFormat="1" x14ac:dyDescent="0.3">
      <c r="A36" s="254"/>
      <c r="B36" s="254"/>
      <c r="C36" s="5" t="s">
        <v>294</v>
      </c>
      <c r="D36" s="5" t="s">
        <v>60</v>
      </c>
      <c r="E36" s="5" t="s">
        <v>74</v>
      </c>
      <c r="F36" s="5" t="s">
        <v>299</v>
      </c>
      <c r="G36" s="8">
        <v>4</v>
      </c>
      <c r="H36" s="5" t="s">
        <v>302</v>
      </c>
      <c r="I36" s="63"/>
    </row>
    <row r="37" spans="1:9" s="5" customFormat="1" x14ac:dyDescent="0.3">
      <c r="A37" s="67"/>
      <c r="B37" s="67"/>
      <c r="G37" s="31"/>
    </row>
    <row r="38" spans="1:9" s="5" customFormat="1" x14ac:dyDescent="0.3">
      <c r="A38" s="254" t="s">
        <v>303</v>
      </c>
      <c r="B38" s="254" t="s">
        <v>307</v>
      </c>
      <c r="C38" s="5" t="s">
        <v>121</v>
      </c>
      <c r="D38" s="5" t="s">
        <v>180</v>
      </c>
      <c r="E38" s="5" t="s">
        <v>54</v>
      </c>
      <c r="F38" s="5" t="s">
        <v>308</v>
      </c>
      <c r="G38" s="9">
        <v>1</v>
      </c>
      <c r="I38" s="63" t="str">
        <f>IFERROR(VLOOKUP('Answer Sheet'!U21,F38:G41,2,FALSE),"0")</f>
        <v>0</v>
      </c>
    </row>
    <row r="39" spans="1:9" s="5" customFormat="1" x14ac:dyDescent="0.3">
      <c r="A39" s="254"/>
      <c r="B39" s="254"/>
      <c r="C39" s="5" t="s">
        <v>304</v>
      </c>
      <c r="D39" s="5" t="s">
        <v>69</v>
      </c>
      <c r="E39" s="5" t="s">
        <v>117</v>
      </c>
      <c r="F39" s="5" t="s">
        <v>309</v>
      </c>
      <c r="G39" s="9">
        <v>1</v>
      </c>
    </row>
    <row r="40" spans="1:9" s="5" customFormat="1" x14ac:dyDescent="0.3">
      <c r="A40" s="254"/>
      <c r="B40" s="254"/>
      <c r="C40" s="5" t="s">
        <v>305</v>
      </c>
      <c r="D40" s="5" t="s">
        <v>71</v>
      </c>
      <c r="E40" s="5" t="s">
        <v>114</v>
      </c>
      <c r="F40" s="5" t="s">
        <v>310</v>
      </c>
      <c r="G40" s="10">
        <v>2</v>
      </c>
      <c r="H40" s="5" t="s">
        <v>312</v>
      </c>
    </row>
    <row r="41" spans="1:9" s="5" customFormat="1" x14ac:dyDescent="0.3">
      <c r="A41" s="254"/>
      <c r="B41" s="254"/>
      <c r="C41" s="5" t="s">
        <v>306</v>
      </c>
      <c r="D41" s="5" t="s">
        <v>80</v>
      </c>
      <c r="E41" s="5" t="s">
        <v>81</v>
      </c>
      <c r="F41" s="5" t="s">
        <v>311</v>
      </c>
      <c r="G41" s="37">
        <v>3</v>
      </c>
      <c r="H41" s="5" t="s">
        <v>313</v>
      </c>
    </row>
    <row r="42" spans="1:9" x14ac:dyDescent="0.3">
      <c r="A42" s="67"/>
      <c r="B42" s="67"/>
      <c r="C42" s="5"/>
      <c r="D42" s="5"/>
      <c r="E42" s="5"/>
      <c r="F42" s="5"/>
      <c r="G42" s="31"/>
      <c r="H42" s="5"/>
    </row>
    <row r="43" spans="1:9" x14ac:dyDescent="0.3">
      <c r="A43" s="5"/>
      <c r="B43" s="5"/>
      <c r="C43" s="5"/>
      <c r="D43" s="5"/>
      <c r="E43" s="5"/>
      <c r="F43" s="5"/>
      <c r="G43" s="5"/>
      <c r="H43" s="5"/>
    </row>
    <row r="44" spans="1:9" x14ac:dyDescent="0.3">
      <c r="A44" s="254"/>
      <c r="B44" s="254"/>
      <c r="C44" s="5"/>
      <c r="D44" s="5"/>
      <c r="E44" s="5"/>
      <c r="F44" s="5"/>
      <c r="G44" s="66"/>
      <c r="H44" s="5"/>
      <c r="I44" s="23"/>
    </row>
    <row r="45" spans="1:9" x14ac:dyDescent="0.3">
      <c r="A45" s="254"/>
      <c r="B45" s="254"/>
      <c r="C45" s="5"/>
      <c r="D45" s="5"/>
      <c r="E45" s="5"/>
      <c r="F45" s="5"/>
      <c r="G45" s="31"/>
      <c r="H45" s="5"/>
    </row>
    <row r="46" spans="1:9" x14ac:dyDescent="0.3">
      <c r="A46" s="254"/>
      <c r="B46" s="254"/>
      <c r="C46" s="5"/>
      <c r="D46" s="5"/>
      <c r="E46" s="5"/>
      <c r="F46" s="5"/>
      <c r="G46" s="31"/>
      <c r="I46" s="18">
        <f>SUM(I4:I39)</f>
        <v>0</v>
      </c>
    </row>
    <row r="47" spans="1:9" x14ac:dyDescent="0.3">
      <c r="I47" s="18">
        <f>COUNTIF(I5:I44,"&gt;0.9")</f>
        <v>0</v>
      </c>
    </row>
    <row r="48" spans="1:9" x14ac:dyDescent="0.3">
      <c r="H48" s="13" t="s">
        <v>91</v>
      </c>
      <c r="I48" s="18" t="str">
        <f>IFERROR(ROUND(I46/I47,1),"0")</f>
        <v>0</v>
      </c>
    </row>
    <row r="52" spans="1:10" x14ac:dyDescent="0.3">
      <c r="A52" s="225" t="s">
        <v>96</v>
      </c>
      <c r="B52" s="225"/>
      <c r="C52" s="225"/>
      <c r="D52" s="225"/>
      <c r="E52" s="225"/>
      <c r="F52" s="225"/>
      <c r="G52" s="225"/>
      <c r="H52" s="225"/>
      <c r="I52" s="225"/>
      <c r="J52" s="225"/>
    </row>
    <row r="54" spans="1:10" x14ac:dyDescent="0.3">
      <c r="A54" s="23" t="s">
        <v>94</v>
      </c>
      <c r="B54" s="14" t="s">
        <v>95</v>
      </c>
      <c r="C54" s="14"/>
      <c r="D54" s="14"/>
      <c r="E54" s="14"/>
      <c r="F54" s="14"/>
      <c r="G54" s="14"/>
      <c r="H54" s="14"/>
      <c r="I54" s="14"/>
      <c r="J54" s="14"/>
    </row>
    <row r="55" spans="1:10" x14ac:dyDescent="0.3">
      <c r="A55" s="15">
        <v>1</v>
      </c>
      <c r="B55" s="7" t="s">
        <v>350</v>
      </c>
    </row>
    <row r="56" spans="1:10" x14ac:dyDescent="0.3">
      <c r="A56" s="15">
        <v>1.2</v>
      </c>
      <c r="B56" s="7" t="s">
        <v>350</v>
      </c>
    </row>
    <row r="57" spans="1:10" x14ac:dyDescent="0.3">
      <c r="A57" s="15">
        <v>1.3</v>
      </c>
      <c r="B57" s="7" t="s">
        <v>350</v>
      </c>
    </row>
    <row r="58" spans="1:10" x14ac:dyDescent="0.3">
      <c r="A58" s="15">
        <v>1.4</v>
      </c>
      <c r="B58" s="7" t="s">
        <v>350</v>
      </c>
    </row>
    <row r="59" spans="1:10" x14ac:dyDescent="0.3">
      <c r="A59" s="17">
        <v>1.5</v>
      </c>
      <c r="B59" s="7" t="s">
        <v>351</v>
      </c>
    </row>
    <row r="60" spans="1:10" x14ac:dyDescent="0.3">
      <c r="A60" s="17">
        <v>1.6</v>
      </c>
      <c r="B60" s="7" t="s">
        <v>351</v>
      </c>
    </row>
    <row r="61" spans="1:10" x14ac:dyDescent="0.3">
      <c r="A61" s="17">
        <v>1.7</v>
      </c>
      <c r="B61" s="7" t="s">
        <v>351</v>
      </c>
    </row>
    <row r="62" spans="1:10" x14ac:dyDescent="0.3">
      <c r="A62" s="17">
        <v>1.8</v>
      </c>
      <c r="B62" s="7" t="s">
        <v>351</v>
      </c>
    </row>
    <row r="63" spans="1:10" x14ac:dyDescent="0.3">
      <c r="A63" s="17">
        <v>1.9</v>
      </c>
      <c r="B63" s="7" t="s">
        <v>351</v>
      </c>
    </row>
    <row r="64" spans="1:10" x14ac:dyDescent="0.3">
      <c r="A64" s="17">
        <v>2</v>
      </c>
      <c r="B64" s="7" t="s">
        <v>351</v>
      </c>
    </row>
    <row r="65" spans="1:2" x14ac:dyDescent="0.3">
      <c r="A65" s="17">
        <v>2.1</v>
      </c>
      <c r="B65" s="7" t="s">
        <v>351</v>
      </c>
    </row>
    <row r="66" spans="1:2" x14ac:dyDescent="0.3">
      <c r="A66" s="17">
        <v>2.2000000000000002</v>
      </c>
      <c r="B66" s="7" t="s">
        <v>351</v>
      </c>
    </row>
    <row r="67" spans="1:2" x14ac:dyDescent="0.3">
      <c r="A67" s="17">
        <v>2.2999999999999998</v>
      </c>
      <c r="B67" s="7" t="s">
        <v>351</v>
      </c>
    </row>
    <row r="68" spans="1:2" x14ac:dyDescent="0.3">
      <c r="A68" s="11">
        <v>2.4</v>
      </c>
      <c r="B68" s="7" t="s">
        <v>352</v>
      </c>
    </row>
    <row r="69" spans="1:2" x14ac:dyDescent="0.3">
      <c r="A69" s="11">
        <v>2.5</v>
      </c>
      <c r="B69" s="7" t="s">
        <v>352</v>
      </c>
    </row>
    <row r="70" spans="1:2" x14ac:dyDescent="0.3">
      <c r="A70" s="11">
        <v>2.6</v>
      </c>
      <c r="B70" s="7" t="s">
        <v>352</v>
      </c>
    </row>
    <row r="71" spans="1:2" x14ac:dyDescent="0.3">
      <c r="A71" s="11">
        <v>2.7</v>
      </c>
      <c r="B71" s="7" t="s">
        <v>352</v>
      </c>
    </row>
    <row r="72" spans="1:2" x14ac:dyDescent="0.3">
      <c r="A72" s="11">
        <v>2.8</v>
      </c>
      <c r="B72" s="7" t="s">
        <v>352</v>
      </c>
    </row>
    <row r="73" spans="1:2" x14ac:dyDescent="0.3">
      <c r="A73" s="11">
        <v>2.9</v>
      </c>
      <c r="B73" s="7" t="s">
        <v>352</v>
      </c>
    </row>
    <row r="74" spans="1:2" x14ac:dyDescent="0.3">
      <c r="A74" s="11">
        <v>3</v>
      </c>
      <c r="B74" s="7" t="s">
        <v>352</v>
      </c>
    </row>
    <row r="75" spans="1:2" x14ac:dyDescent="0.3">
      <c r="A75" s="11">
        <v>3.1</v>
      </c>
      <c r="B75" s="7" t="s">
        <v>352</v>
      </c>
    </row>
    <row r="76" spans="1:2" x14ac:dyDescent="0.3">
      <c r="A76" s="11">
        <v>3.2</v>
      </c>
      <c r="B76" s="7" t="s">
        <v>352</v>
      </c>
    </row>
    <row r="77" spans="1:2" x14ac:dyDescent="0.3">
      <c r="A77" s="11">
        <v>3.3</v>
      </c>
      <c r="B77" s="7" t="s">
        <v>352</v>
      </c>
    </row>
    <row r="78" spans="1:2" x14ac:dyDescent="0.3">
      <c r="A78" s="11">
        <v>3.4</v>
      </c>
      <c r="B78" s="7" t="s">
        <v>352</v>
      </c>
    </row>
    <row r="79" spans="1:2" x14ac:dyDescent="0.3">
      <c r="A79" s="16">
        <v>3.5</v>
      </c>
      <c r="B79" s="7" t="s">
        <v>105</v>
      </c>
    </row>
    <row r="80" spans="1:2" x14ac:dyDescent="0.3">
      <c r="A80" s="16">
        <v>3.6</v>
      </c>
      <c r="B80" s="7" t="s">
        <v>105</v>
      </c>
    </row>
    <row r="81" spans="1:2" x14ac:dyDescent="0.3">
      <c r="A81" s="16">
        <v>3.7</v>
      </c>
      <c r="B81" s="7" t="s">
        <v>105</v>
      </c>
    </row>
    <row r="82" spans="1:2" x14ac:dyDescent="0.3">
      <c r="A82" s="16">
        <v>3.8</v>
      </c>
      <c r="B82" s="7" t="s">
        <v>105</v>
      </c>
    </row>
    <row r="83" spans="1:2" x14ac:dyDescent="0.3">
      <c r="A83" s="16">
        <v>3.9</v>
      </c>
      <c r="B83" s="7" t="s">
        <v>105</v>
      </c>
    </row>
    <row r="84" spans="1:2" x14ac:dyDescent="0.3">
      <c r="A84" s="16">
        <v>4</v>
      </c>
      <c r="B84" s="7" t="s">
        <v>105</v>
      </c>
    </row>
  </sheetData>
  <mergeCells count="20">
    <mergeCell ref="A1:J1"/>
    <mergeCell ref="A44:A46"/>
    <mergeCell ref="B44:B46"/>
    <mergeCell ref="A52:J52"/>
    <mergeCell ref="B4:B7"/>
    <mergeCell ref="A4:A7"/>
    <mergeCell ref="B9:B12"/>
    <mergeCell ref="A9:A12"/>
    <mergeCell ref="B14:B17"/>
    <mergeCell ref="A14:A17"/>
    <mergeCell ref="B19:B23"/>
    <mergeCell ref="A19:A23"/>
    <mergeCell ref="B25:B27"/>
    <mergeCell ref="A25:A27"/>
    <mergeCell ref="B29:B31"/>
    <mergeCell ref="A29:A31"/>
    <mergeCell ref="B33:B36"/>
    <mergeCell ref="A33:A36"/>
    <mergeCell ref="B38:B41"/>
    <mergeCell ref="A38:A41"/>
  </mergeCells>
  <pageMargins left="0.7" right="0.7" top="0.75" bottom="0.75" header="0.3" footer="0.3"/>
  <pageSetup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63"/>
  <sheetViews>
    <sheetView zoomScale="36" zoomScaleNormal="80" zoomScalePageLayoutView="70" workbookViewId="0">
      <selection activeCell="I28" sqref="I28"/>
    </sheetView>
  </sheetViews>
  <sheetFormatPr defaultColWidth="8.77734375" defaultRowHeight="14.4" x14ac:dyDescent="0.3"/>
  <cols>
    <col min="1" max="1" width="17.21875" style="7" bestFit="1" customWidth="1"/>
    <col min="2" max="2" width="55.21875" style="7" customWidth="1"/>
    <col min="3" max="3" width="32.21875" style="7" bestFit="1" customWidth="1"/>
    <col min="4" max="4" width="13.21875" style="7" bestFit="1" customWidth="1"/>
    <col min="5" max="5" width="27.5546875" style="7" bestFit="1" customWidth="1"/>
    <col min="6" max="7" width="8.77734375" style="7"/>
    <col min="8" max="8" width="195.33203125" style="7" bestFit="1" customWidth="1"/>
    <col min="9" max="9" width="27.6640625" style="7" bestFit="1" customWidth="1"/>
    <col min="10" max="16384" width="8.77734375" style="7"/>
  </cols>
  <sheetData>
    <row r="1" spans="1:10" x14ac:dyDescent="0.3">
      <c r="A1" s="169" t="s">
        <v>241</v>
      </c>
      <c r="B1" s="169"/>
      <c r="C1" s="169"/>
      <c r="D1" s="169"/>
      <c r="E1" s="169"/>
      <c r="F1" s="169"/>
      <c r="G1" s="169"/>
      <c r="H1" s="169"/>
      <c r="I1" s="169"/>
      <c r="J1" s="169"/>
    </row>
    <row r="2" spans="1:10" x14ac:dyDescent="0.3">
      <c r="A2" s="92"/>
      <c r="B2" s="92"/>
      <c r="C2" s="92"/>
      <c r="D2" s="92"/>
      <c r="E2" s="92"/>
      <c r="F2" s="92"/>
      <c r="G2" s="92"/>
      <c r="H2" s="92"/>
      <c r="I2" s="92"/>
      <c r="J2" s="92"/>
    </row>
    <row r="3" spans="1:10" x14ac:dyDescent="0.3">
      <c r="I3" s="7" t="s">
        <v>89</v>
      </c>
    </row>
    <row r="4" spans="1:10" ht="14.55" customHeight="1" x14ac:dyDescent="0.3">
      <c r="A4" s="254" t="s">
        <v>357</v>
      </c>
      <c r="B4" s="174" t="s">
        <v>361</v>
      </c>
      <c r="C4" s="5" t="s">
        <v>115</v>
      </c>
      <c r="D4" s="5" t="s">
        <v>180</v>
      </c>
      <c r="E4" s="5" t="s">
        <v>54</v>
      </c>
      <c r="F4" s="5" t="s">
        <v>364</v>
      </c>
      <c r="G4" s="9">
        <v>1</v>
      </c>
      <c r="H4" s="5"/>
      <c r="I4" s="18"/>
    </row>
    <row r="5" spans="1:10" x14ac:dyDescent="0.3">
      <c r="A5" s="254"/>
      <c r="B5" s="174"/>
      <c r="C5" s="5" t="s">
        <v>362</v>
      </c>
      <c r="D5" s="5" t="s">
        <v>71</v>
      </c>
      <c r="E5" s="5" t="s">
        <v>58</v>
      </c>
      <c r="F5" s="5" t="s">
        <v>365</v>
      </c>
      <c r="G5" s="37">
        <v>3</v>
      </c>
      <c r="H5" s="5" t="s">
        <v>368</v>
      </c>
      <c r="I5" s="18" t="str">
        <f>IFERROR(VLOOKUP('Answer Sheet'!W14,F4:G6,2,FALSE),"0")</f>
        <v>0</v>
      </c>
    </row>
    <row r="6" spans="1:10" x14ac:dyDescent="0.3">
      <c r="A6" s="254"/>
      <c r="B6" s="174"/>
      <c r="C6" s="5" t="s">
        <v>363</v>
      </c>
      <c r="D6" s="5" t="s">
        <v>80</v>
      </c>
      <c r="E6" s="5" t="s">
        <v>367</v>
      </c>
      <c r="F6" s="5" t="s">
        <v>366</v>
      </c>
      <c r="G6" s="8">
        <v>4</v>
      </c>
      <c r="H6" s="5" t="s">
        <v>369</v>
      </c>
      <c r="I6" s="18"/>
    </row>
    <row r="7" spans="1:10" x14ac:dyDescent="0.3">
      <c r="A7" s="67"/>
      <c r="B7" s="68"/>
      <c r="C7" s="5"/>
      <c r="D7" s="5"/>
      <c r="E7" s="5"/>
      <c r="F7" s="5"/>
      <c r="G7" s="35"/>
      <c r="H7" s="5"/>
    </row>
    <row r="8" spans="1:10" ht="14.55" customHeight="1" x14ac:dyDescent="0.3">
      <c r="A8" s="254" t="s">
        <v>358</v>
      </c>
      <c r="B8" s="174" t="s">
        <v>370</v>
      </c>
      <c r="C8" s="5" t="s">
        <v>115</v>
      </c>
      <c r="D8" s="5" t="s">
        <v>248</v>
      </c>
      <c r="E8" s="5" t="s">
        <v>54</v>
      </c>
      <c r="F8" s="5" t="s">
        <v>371</v>
      </c>
      <c r="G8" s="9">
        <v>1</v>
      </c>
      <c r="H8" s="5"/>
      <c r="I8" s="18" t="str">
        <f>IFERROR(VLOOKUP('Answer Sheet'!W15,F8:G10,2,FALSE),"0")</f>
        <v>0</v>
      </c>
    </row>
    <row r="9" spans="1:10" x14ac:dyDescent="0.3">
      <c r="A9" s="254"/>
      <c r="B9" s="174"/>
      <c r="C9" s="5" t="s">
        <v>362</v>
      </c>
      <c r="D9" s="5" t="s">
        <v>71</v>
      </c>
      <c r="E9" s="5" t="s">
        <v>114</v>
      </c>
      <c r="F9" s="5" t="s">
        <v>372</v>
      </c>
      <c r="G9" s="10">
        <v>2</v>
      </c>
      <c r="H9" s="5" t="s">
        <v>375</v>
      </c>
      <c r="I9" s="18"/>
    </row>
    <row r="10" spans="1:10" x14ac:dyDescent="0.3">
      <c r="A10" s="254"/>
      <c r="B10" s="174"/>
      <c r="C10" s="5" t="s">
        <v>363</v>
      </c>
      <c r="D10" s="5" t="s">
        <v>60</v>
      </c>
      <c r="E10" s="5" t="s">
        <v>74</v>
      </c>
      <c r="F10" s="5" t="s">
        <v>373</v>
      </c>
      <c r="G10" s="8">
        <v>4</v>
      </c>
      <c r="H10" s="5" t="s">
        <v>374</v>
      </c>
      <c r="I10" s="18"/>
    </row>
    <row r="11" spans="1:10" x14ac:dyDescent="0.3">
      <c r="A11" s="67"/>
      <c r="B11" s="68"/>
      <c r="C11" s="36"/>
      <c r="D11" s="5"/>
      <c r="E11" s="5"/>
      <c r="F11" s="5"/>
      <c r="G11" s="31"/>
      <c r="H11" s="5"/>
      <c r="I11" s="59"/>
    </row>
    <row r="12" spans="1:10" ht="14.55" customHeight="1" x14ac:dyDescent="0.3">
      <c r="A12" s="254" t="s">
        <v>359</v>
      </c>
      <c r="B12" s="174" t="s">
        <v>378</v>
      </c>
      <c r="C12" s="5" t="s">
        <v>116</v>
      </c>
      <c r="D12" s="5" t="s">
        <v>248</v>
      </c>
      <c r="E12" s="5" t="s">
        <v>54</v>
      </c>
      <c r="F12" s="5" t="s">
        <v>376</v>
      </c>
      <c r="G12" s="9">
        <v>1</v>
      </c>
      <c r="H12" s="5"/>
      <c r="I12" s="59" t="str">
        <f>IFERROR(VLOOKUP('Answer Sheet'!W16,F12:G13,2,FALSE),"0")</f>
        <v>0</v>
      </c>
    </row>
    <row r="13" spans="1:10" x14ac:dyDescent="0.3">
      <c r="A13" s="254"/>
      <c r="B13" s="174"/>
      <c r="C13" s="5" t="s">
        <v>115</v>
      </c>
      <c r="D13" s="5" t="s">
        <v>60</v>
      </c>
      <c r="E13" s="5" t="s">
        <v>81</v>
      </c>
      <c r="F13" s="5" t="s">
        <v>377</v>
      </c>
      <c r="G13" s="37">
        <v>3</v>
      </c>
      <c r="H13" s="5" t="s">
        <v>379</v>
      </c>
      <c r="I13" s="59"/>
    </row>
    <row r="14" spans="1:10" x14ac:dyDescent="0.3">
      <c r="A14" s="67"/>
      <c r="B14" s="67"/>
      <c r="C14" s="5"/>
      <c r="D14" s="5"/>
      <c r="E14" s="5"/>
      <c r="F14" s="5"/>
      <c r="G14" s="31"/>
      <c r="H14" s="5"/>
      <c r="I14" s="18"/>
    </row>
    <row r="15" spans="1:10" ht="14.55" customHeight="1" x14ac:dyDescent="0.3">
      <c r="A15" s="254" t="s">
        <v>360</v>
      </c>
      <c r="B15" s="174" t="s">
        <v>380</v>
      </c>
      <c r="C15" s="5" t="s">
        <v>115</v>
      </c>
      <c r="D15" s="5" t="s">
        <v>248</v>
      </c>
      <c r="E15" s="5" t="s">
        <v>54</v>
      </c>
      <c r="F15" s="5" t="s">
        <v>381</v>
      </c>
      <c r="G15" s="9">
        <v>1</v>
      </c>
      <c r="H15" s="5"/>
      <c r="I15" s="59" t="str">
        <f>IFERROR(VLOOKUP('Answer Sheet'!W17,F15:G16,2,FALSE),"0")</f>
        <v>0</v>
      </c>
    </row>
    <row r="16" spans="1:10" x14ac:dyDescent="0.3">
      <c r="A16" s="254"/>
      <c r="B16" s="174"/>
      <c r="C16" s="5" t="s">
        <v>116</v>
      </c>
      <c r="D16" s="5" t="s">
        <v>60</v>
      </c>
      <c r="E16" s="5" t="s">
        <v>81</v>
      </c>
      <c r="F16" s="5" t="s">
        <v>382</v>
      </c>
      <c r="G16" s="37">
        <v>3</v>
      </c>
      <c r="H16" s="5" t="s">
        <v>383</v>
      </c>
      <c r="I16" s="18"/>
    </row>
    <row r="17" spans="1:10" x14ac:dyDescent="0.3">
      <c r="A17" s="67"/>
      <c r="B17" s="67"/>
      <c r="C17" s="5"/>
      <c r="D17" s="5"/>
      <c r="E17" s="5"/>
      <c r="F17" s="5"/>
      <c r="G17" s="31"/>
      <c r="H17" s="5"/>
      <c r="I17" s="18"/>
    </row>
    <row r="18" spans="1:10" x14ac:dyDescent="0.3">
      <c r="A18" s="67"/>
      <c r="B18" s="67"/>
      <c r="C18" s="5"/>
      <c r="D18" s="5"/>
      <c r="E18" s="5"/>
      <c r="F18" s="5"/>
      <c r="G18" s="31"/>
      <c r="H18" s="5"/>
      <c r="I18" s="18"/>
    </row>
    <row r="19" spans="1:10" ht="14.55" customHeight="1" x14ac:dyDescent="0.3">
      <c r="A19" s="67"/>
      <c r="B19" s="67"/>
      <c r="C19" s="5"/>
      <c r="D19" s="5"/>
      <c r="E19" s="5"/>
      <c r="F19" s="5"/>
      <c r="G19" s="31"/>
      <c r="H19" s="5"/>
      <c r="I19" s="18"/>
    </row>
    <row r="20" spans="1:10" ht="14.55" customHeight="1" x14ac:dyDescent="0.3">
      <c r="A20" s="67"/>
      <c r="B20" s="67"/>
      <c r="C20" s="5"/>
      <c r="D20" s="5"/>
      <c r="E20" s="5"/>
      <c r="F20" s="5"/>
      <c r="G20" s="31"/>
      <c r="H20" s="5"/>
      <c r="I20" s="18"/>
    </row>
    <row r="21" spans="1:10" x14ac:dyDescent="0.3">
      <c r="A21" s="67"/>
      <c r="B21" s="67"/>
      <c r="C21" s="5"/>
      <c r="D21" s="5"/>
      <c r="E21" s="5"/>
      <c r="F21" s="5"/>
      <c r="G21" s="31"/>
      <c r="H21" s="5"/>
    </row>
    <row r="22" spans="1:10" x14ac:dyDescent="0.3">
      <c r="A22" s="5"/>
      <c r="B22" s="5"/>
      <c r="C22" s="5"/>
      <c r="D22" s="5"/>
      <c r="E22" s="5"/>
      <c r="F22" s="5"/>
      <c r="G22" s="5"/>
      <c r="H22" s="5"/>
    </row>
    <row r="23" spans="1:10" x14ac:dyDescent="0.3">
      <c r="A23" s="254"/>
      <c r="B23" s="254"/>
      <c r="C23" s="5"/>
      <c r="D23" s="5"/>
      <c r="E23" s="5"/>
      <c r="F23" s="5"/>
      <c r="G23" s="66"/>
      <c r="H23" s="5"/>
      <c r="I23" s="93"/>
    </row>
    <row r="24" spans="1:10" x14ac:dyDescent="0.3">
      <c r="A24" s="254"/>
      <c r="B24" s="254"/>
      <c r="C24" s="5"/>
      <c r="D24" s="5"/>
      <c r="E24" s="5"/>
      <c r="F24" s="5"/>
      <c r="G24" s="31"/>
      <c r="H24" s="5"/>
    </row>
    <row r="25" spans="1:10" x14ac:dyDescent="0.3">
      <c r="A25" s="254"/>
      <c r="B25" s="254"/>
      <c r="C25" s="5"/>
      <c r="D25" s="5"/>
      <c r="E25" s="5"/>
      <c r="F25" s="5"/>
      <c r="G25" s="31"/>
      <c r="I25" s="18">
        <f>SUM(I4:I20)</f>
        <v>0</v>
      </c>
    </row>
    <row r="26" spans="1:10" x14ac:dyDescent="0.3">
      <c r="I26" s="18">
        <f>COUNTIF(I5:I23,"&gt;0.9")</f>
        <v>0</v>
      </c>
    </row>
    <row r="27" spans="1:10" x14ac:dyDescent="0.3">
      <c r="H27" s="13" t="s">
        <v>91</v>
      </c>
      <c r="I27" s="18" t="str">
        <f>IFERROR(ROUND(I25/I26,1),"0")</f>
        <v>0</v>
      </c>
    </row>
    <row r="31" spans="1:10" x14ac:dyDescent="0.3">
      <c r="A31" s="225" t="s">
        <v>96</v>
      </c>
      <c r="B31" s="225"/>
      <c r="C31" s="225"/>
      <c r="D31" s="225"/>
      <c r="E31" s="225"/>
      <c r="F31" s="225"/>
      <c r="G31" s="225"/>
      <c r="H31" s="225"/>
      <c r="I31" s="225"/>
      <c r="J31" s="225"/>
    </row>
    <row r="33" spans="1:10" x14ac:dyDescent="0.3">
      <c r="A33" s="93" t="s">
        <v>94</v>
      </c>
      <c r="B33" s="14" t="s">
        <v>95</v>
      </c>
      <c r="C33" s="14"/>
      <c r="D33" s="14"/>
      <c r="E33" s="14"/>
      <c r="F33" s="14"/>
      <c r="G33" s="14"/>
      <c r="H33" s="14"/>
      <c r="I33" s="14"/>
      <c r="J33" s="14"/>
    </row>
    <row r="34" spans="1:10" x14ac:dyDescent="0.3">
      <c r="A34" s="15">
        <v>1</v>
      </c>
      <c r="B34" s="7" t="s">
        <v>384</v>
      </c>
    </row>
    <row r="35" spans="1:10" x14ac:dyDescent="0.3">
      <c r="A35" s="15">
        <v>1.2</v>
      </c>
      <c r="B35" s="7" t="s">
        <v>384</v>
      </c>
    </row>
    <row r="36" spans="1:10" x14ac:dyDescent="0.3">
      <c r="A36" s="15">
        <v>1.3</v>
      </c>
      <c r="B36" s="7" t="s">
        <v>384</v>
      </c>
    </row>
    <row r="37" spans="1:10" x14ac:dyDescent="0.3">
      <c r="A37" s="15">
        <v>1.4</v>
      </c>
      <c r="B37" s="7" t="s">
        <v>384</v>
      </c>
    </row>
    <row r="38" spans="1:10" x14ac:dyDescent="0.3">
      <c r="A38" s="17">
        <v>1.5</v>
      </c>
      <c r="B38" s="7" t="s">
        <v>385</v>
      </c>
    </row>
    <row r="39" spans="1:10" x14ac:dyDescent="0.3">
      <c r="A39" s="17">
        <v>1.6</v>
      </c>
      <c r="B39" s="7" t="s">
        <v>385</v>
      </c>
    </row>
    <row r="40" spans="1:10" x14ac:dyDescent="0.3">
      <c r="A40" s="17">
        <v>1.7</v>
      </c>
      <c r="B40" s="7" t="s">
        <v>385</v>
      </c>
    </row>
    <row r="41" spans="1:10" x14ac:dyDescent="0.3">
      <c r="A41" s="17">
        <v>1.8</v>
      </c>
      <c r="B41" s="7" t="s">
        <v>385</v>
      </c>
    </row>
    <row r="42" spans="1:10" x14ac:dyDescent="0.3">
      <c r="A42" s="17">
        <v>1.9</v>
      </c>
      <c r="B42" s="7" t="s">
        <v>385</v>
      </c>
    </row>
    <row r="43" spans="1:10" x14ac:dyDescent="0.3">
      <c r="A43" s="17">
        <v>2</v>
      </c>
      <c r="B43" s="7" t="s">
        <v>385</v>
      </c>
    </row>
    <row r="44" spans="1:10" x14ac:dyDescent="0.3">
      <c r="A44" s="17">
        <v>2.1</v>
      </c>
      <c r="B44" s="7" t="s">
        <v>385</v>
      </c>
    </row>
    <row r="45" spans="1:10" x14ac:dyDescent="0.3">
      <c r="A45" s="17">
        <v>2.2000000000000002</v>
      </c>
      <c r="B45" s="7" t="s">
        <v>385</v>
      </c>
    </row>
    <row r="46" spans="1:10" x14ac:dyDescent="0.3">
      <c r="A46" s="17">
        <v>2.2999999999999998</v>
      </c>
      <c r="B46" s="7" t="s">
        <v>385</v>
      </c>
    </row>
    <row r="47" spans="1:10" x14ac:dyDescent="0.3">
      <c r="A47" s="11">
        <v>2.4</v>
      </c>
      <c r="B47" s="7" t="s">
        <v>386</v>
      </c>
    </row>
    <row r="48" spans="1:10" x14ac:dyDescent="0.3">
      <c r="A48" s="11">
        <v>2.5</v>
      </c>
      <c r="B48" s="7" t="s">
        <v>386</v>
      </c>
    </row>
    <row r="49" spans="1:2" x14ac:dyDescent="0.3">
      <c r="A49" s="11">
        <v>2.6</v>
      </c>
      <c r="B49" s="7" t="s">
        <v>386</v>
      </c>
    </row>
    <row r="50" spans="1:2" x14ac:dyDescent="0.3">
      <c r="A50" s="11">
        <v>2.7</v>
      </c>
      <c r="B50" s="7" t="s">
        <v>386</v>
      </c>
    </row>
    <row r="51" spans="1:2" x14ac:dyDescent="0.3">
      <c r="A51" s="11">
        <v>2.8</v>
      </c>
      <c r="B51" s="7" t="s">
        <v>386</v>
      </c>
    </row>
    <row r="52" spans="1:2" x14ac:dyDescent="0.3">
      <c r="A52" s="11">
        <v>2.9</v>
      </c>
      <c r="B52" s="7" t="s">
        <v>386</v>
      </c>
    </row>
    <row r="53" spans="1:2" x14ac:dyDescent="0.3">
      <c r="A53" s="11">
        <v>3</v>
      </c>
      <c r="B53" s="7" t="s">
        <v>386</v>
      </c>
    </row>
    <row r="54" spans="1:2" x14ac:dyDescent="0.3">
      <c r="A54" s="11">
        <v>3.1</v>
      </c>
      <c r="B54" s="7" t="s">
        <v>386</v>
      </c>
    </row>
    <row r="55" spans="1:2" x14ac:dyDescent="0.3">
      <c r="A55" s="11">
        <v>3.2</v>
      </c>
      <c r="B55" s="7" t="s">
        <v>386</v>
      </c>
    </row>
    <row r="56" spans="1:2" x14ac:dyDescent="0.3">
      <c r="A56" s="11">
        <v>3.3</v>
      </c>
      <c r="B56" s="7" t="s">
        <v>386</v>
      </c>
    </row>
    <row r="57" spans="1:2" x14ac:dyDescent="0.3">
      <c r="A57" s="11">
        <v>3.4</v>
      </c>
      <c r="B57" s="7" t="s">
        <v>386</v>
      </c>
    </row>
    <row r="58" spans="1:2" x14ac:dyDescent="0.3">
      <c r="A58" s="16">
        <v>3.5</v>
      </c>
      <c r="B58" s="7" t="s">
        <v>105</v>
      </c>
    </row>
    <row r="59" spans="1:2" x14ac:dyDescent="0.3">
      <c r="A59" s="16">
        <v>3.6</v>
      </c>
      <c r="B59" s="7" t="s">
        <v>105</v>
      </c>
    </row>
    <row r="60" spans="1:2" x14ac:dyDescent="0.3">
      <c r="A60" s="16">
        <v>3.7</v>
      </c>
      <c r="B60" s="7" t="s">
        <v>105</v>
      </c>
    </row>
    <row r="61" spans="1:2" x14ac:dyDescent="0.3">
      <c r="A61" s="16">
        <v>3.8</v>
      </c>
      <c r="B61" s="7" t="s">
        <v>105</v>
      </c>
    </row>
    <row r="62" spans="1:2" x14ac:dyDescent="0.3">
      <c r="A62" s="16">
        <v>3.9</v>
      </c>
      <c r="B62" s="7" t="s">
        <v>105</v>
      </c>
    </row>
    <row r="63" spans="1:2" x14ac:dyDescent="0.3">
      <c r="A63" s="16">
        <v>4</v>
      </c>
      <c r="B63" s="7" t="s">
        <v>105</v>
      </c>
    </row>
  </sheetData>
  <mergeCells count="12">
    <mergeCell ref="A1:J1"/>
    <mergeCell ref="A4:A6"/>
    <mergeCell ref="B4:B6"/>
    <mergeCell ref="A31:J31"/>
    <mergeCell ref="B8:B10"/>
    <mergeCell ref="A8:A10"/>
    <mergeCell ref="B12:B13"/>
    <mergeCell ref="A12:A13"/>
    <mergeCell ref="A15:A16"/>
    <mergeCell ref="B15:B16"/>
    <mergeCell ref="A23:A25"/>
    <mergeCell ref="B23:B25"/>
  </mergeCells>
  <pageMargins left="0.7" right="0.7" top="0.75" bottom="0.75"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N72"/>
  <sheetViews>
    <sheetView showGridLines="0" showRuler="0" view="pageLayout" zoomScale="64" zoomScaleNormal="100" zoomScalePageLayoutView="64" workbookViewId="0">
      <selection activeCell="H1" sqref="H1:M2"/>
    </sheetView>
  </sheetViews>
  <sheetFormatPr defaultColWidth="8.77734375" defaultRowHeight="14.4" x14ac:dyDescent="0.3"/>
  <cols>
    <col min="1" max="1" width="8.77734375" style="7"/>
    <col min="2" max="2" width="8.77734375" style="7" customWidth="1"/>
    <col min="3" max="16384" width="8.77734375" style="7"/>
  </cols>
  <sheetData>
    <row r="1" spans="1:14" ht="31.5" customHeight="1" x14ac:dyDescent="0.45">
      <c r="C1" s="41"/>
      <c r="D1" s="41"/>
      <c r="E1" s="44"/>
      <c r="F1" s="44"/>
      <c r="G1" s="44"/>
      <c r="H1" s="194" t="s">
        <v>314</v>
      </c>
      <c r="I1" s="196"/>
      <c r="J1" s="196"/>
      <c r="K1" s="196"/>
      <c r="L1" s="196"/>
      <c r="M1" s="196"/>
      <c r="N1" s="41"/>
    </row>
    <row r="2" spans="1:14" s="27" customFormat="1" ht="23.4" x14ac:dyDescent="0.3">
      <c r="C2" s="42"/>
      <c r="D2" s="42"/>
      <c r="E2" s="43"/>
      <c r="F2" s="43"/>
      <c r="G2" s="43"/>
      <c r="H2" s="196"/>
      <c r="I2" s="196"/>
      <c r="J2" s="196"/>
      <c r="K2" s="196"/>
      <c r="L2" s="196"/>
      <c r="M2" s="196"/>
      <c r="N2" s="42"/>
    </row>
    <row r="3" spans="1:14" s="27" customFormat="1" ht="8.6999999999999993" customHeight="1" x14ac:dyDescent="0.3">
      <c r="C3" s="42"/>
      <c r="D3" s="42"/>
      <c r="E3" s="43"/>
      <c r="F3" s="43"/>
      <c r="G3" s="43"/>
      <c r="H3" s="43"/>
      <c r="I3" s="43"/>
      <c r="J3" s="43"/>
      <c r="K3" s="43"/>
      <c r="L3" s="43"/>
      <c r="M3" s="43"/>
      <c r="N3" s="42"/>
    </row>
    <row r="4" spans="1:14" ht="14.55" customHeight="1" x14ac:dyDescent="0.3">
      <c r="A4" s="42"/>
      <c r="B4" s="42"/>
      <c r="C4" s="42"/>
      <c r="D4" s="42"/>
      <c r="E4" s="42"/>
      <c r="F4" s="42"/>
      <c r="G4" s="42"/>
      <c r="H4" s="42"/>
      <c r="I4" s="42"/>
      <c r="J4" s="42"/>
      <c r="K4" s="42"/>
      <c r="L4" s="42"/>
      <c r="M4" s="42"/>
      <c r="N4" s="42"/>
    </row>
    <row r="5" spans="1:14" ht="14.55" customHeight="1" x14ac:dyDescent="0.3">
      <c r="B5" s="195" t="s">
        <v>170</v>
      </c>
      <c r="C5" s="195"/>
      <c r="D5" s="195"/>
      <c r="E5" s="162" t="s">
        <v>171</v>
      </c>
      <c r="F5" s="162"/>
      <c r="G5" s="162"/>
      <c r="H5" s="162"/>
      <c r="I5" s="162"/>
      <c r="J5" s="162"/>
      <c r="K5" s="162"/>
      <c r="L5" s="162"/>
      <c r="M5" s="162"/>
      <c r="N5" s="14"/>
    </row>
    <row r="6" spans="1:14" ht="14.55" customHeight="1" x14ac:dyDescent="0.3">
      <c r="A6" s="32"/>
      <c r="B6" s="180" t="str">
        <f>'Matrix - Part 5'!I48</f>
        <v>0</v>
      </c>
      <c r="C6" s="180"/>
      <c r="D6" s="180"/>
      <c r="E6" s="181" t="e">
        <f>VLOOKUP('Matrix - Part 5'!I48,'Matrix - Part 5'!A55:B84,2,FALSE)</f>
        <v>#N/A</v>
      </c>
      <c r="F6" s="181"/>
      <c r="G6" s="181"/>
      <c r="H6" s="181"/>
      <c r="I6" s="181"/>
      <c r="J6" s="181"/>
      <c r="K6" s="181"/>
      <c r="L6" s="181"/>
      <c r="M6" s="181"/>
      <c r="N6" s="14"/>
    </row>
    <row r="7" spans="1:14" ht="14.55" customHeight="1" x14ac:dyDescent="0.3">
      <c r="A7" s="32"/>
      <c r="B7" s="180"/>
      <c r="C7" s="180"/>
      <c r="D7" s="180"/>
      <c r="E7" s="181"/>
      <c r="F7" s="181"/>
      <c r="G7" s="181"/>
      <c r="H7" s="181"/>
      <c r="I7" s="181"/>
      <c r="J7" s="181"/>
      <c r="K7" s="181"/>
      <c r="L7" s="181"/>
      <c r="M7" s="181"/>
      <c r="N7" s="14"/>
    </row>
    <row r="8" spans="1:14" ht="14.55" customHeight="1" x14ac:dyDescent="0.3">
      <c r="A8" s="32"/>
      <c r="B8" s="180"/>
      <c r="C8" s="180"/>
      <c r="D8" s="180"/>
      <c r="E8" s="181"/>
      <c r="F8" s="181"/>
      <c r="G8" s="181"/>
      <c r="H8" s="181"/>
      <c r="I8" s="181"/>
      <c r="J8" s="181"/>
      <c r="K8" s="181"/>
      <c r="L8" s="181"/>
      <c r="M8" s="181"/>
      <c r="N8" s="14"/>
    </row>
    <row r="9" spans="1:14" ht="14.55" customHeight="1" x14ac:dyDescent="0.3">
      <c r="A9" s="32"/>
      <c r="B9" s="32"/>
      <c r="C9" s="32"/>
      <c r="D9" s="32"/>
      <c r="E9" s="33"/>
      <c r="F9" s="33"/>
      <c r="G9" s="33"/>
      <c r="H9" s="33"/>
      <c r="I9" s="33"/>
      <c r="J9" s="33"/>
      <c r="K9" s="33"/>
      <c r="L9" s="33"/>
      <c r="M9" s="33"/>
      <c r="N9" s="14"/>
    </row>
    <row r="10" spans="1:14" ht="14.55" customHeight="1" thickBot="1" x14ac:dyDescent="0.35">
      <c r="A10" s="32"/>
      <c r="B10" s="255" t="s">
        <v>144</v>
      </c>
      <c r="C10" s="255"/>
      <c r="D10" s="255"/>
      <c r="E10" s="255"/>
      <c r="F10" s="256" t="s">
        <v>143</v>
      </c>
      <c r="G10" s="256"/>
      <c r="H10" s="256"/>
      <c r="I10" s="256"/>
      <c r="J10" s="257" t="s">
        <v>176</v>
      </c>
      <c r="K10" s="257"/>
      <c r="L10" s="257"/>
      <c r="M10" s="257"/>
      <c r="N10" s="14"/>
    </row>
    <row r="11" spans="1:14" ht="15" customHeight="1" x14ac:dyDescent="0.3">
      <c r="B11" s="229" t="str">
        <f>IFERROR(VLOOKUP('Matrix - Part 5'!I19,'Matrix - Part 5'!G23:H23,2,FALSE),"")&amp;CHAR(10)&amp;IFERROR(VLOOKUP('Matrix - Part 5'!I33,'Matrix - Part 5'!G36:H36,2,FALSE),"")</f>
        <v xml:space="preserve">
</v>
      </c>
      <c r="C11" s="229"/>
      <c r="D11" s="229"/>
      <c r="E11" s="229"/>
      <c r="F11" s="228" t="str">
        <f>IFERROR(VLOOKUP('Matrix - Part 5'!I5,'Matrix - Part 5'!G7:H7,2,FALSE),"")&amp;CHAR(10)&amp;IFERROR(VLOOKUP('Matrix - Part 5'!I9,'Matrix - Part 5'!G12:H12,2,FALSE),"")&amp;CHAR(10)&amp;IFERROR(VLOOKUP('Matrix - Part 5'!I14,'Matrix - Part 5'!G17:H17,2,FALSE),"")&amp;CHAR(10)&amp;IFERROR(VLOOKUP('Matrix - Part 5'!I19,'Matrix - Part 5'!G22:H22,2,FALSE),"")&amp;CHAR(10)&amp;IFERROR(VLOOKUP('Matrix - Part 5'!I25,'Matrix - Part 5'!G27:H27,2,FALSE),"")&amp;CHAR(10)&amp;IFERROR(VLOOKUP('Matrix - Part 5'!I29,'Matrix - Part 5'!G31:H31,2,FALSE),"")&amp;CHAR(10)&amp;IFERROR(VLOOKUP('Matrix - Part 5'!I33,'Matrix - Part 5'!G35:H35,2,FALSE),"")&amp;CHAR(10)&amp;IFERROR(VLOOKUP('Matrix - Part 5'!I38,'Matrix - Part 5'!G41:H41,2,FALSE),"")</f>
        <v xml:space="preserve">
</v>
      </c>
      <c r="G11" s="229"/>
      <c r="H11" s="229"/>
      <c r="I11" s="230"/>
      <c r="J11" s="228" t="str">
        <f>IFERROR(VLOOKUP('Matrix - Part 5'!I5,'Matrix - Part 5'!G6:H6,2,FALSE),"")&amp;CHAR(10)&amp;IFERROR(VLOOKUP('Matrix - Part 5'!I9,'Matrix - Part 5'!G11:H11,2,FALSE),"")&amp;CHAR(10)&amp;IFERROR(VLOOKUP('Matrix - Part 5'!I14,'Matrix - Part 5'!G16:H16,2,FALSE),"")&amp;CHAR(10)&amp;IFERROR(VLOOKUP('Matrix - Part 5'!I19,'Matrix - Part 5'!G21:H21,2,FALSE),"")&amp;CHAR(10)&amp;IFERROR(VLOOKUP('Matrix - Part 5'!I25,'Matrix - Part 5'!G26:H26,2,FALSE),"")&amp;CHAR(10)&amp;IFERROR(VLOOKUP('Matrix - Part 5'!I29,'Matrix - Part 5'!G30:H30,2,FALSE),"")&amp;CHAR(10)&amp;IFERROR(VLOOKUP('Matrix - Part 5'!I33,'Matrix - Part 5'!G34:H34,2,FALSE),"")&amp;CHAR(10)&amp;IFERROR(VLOOKUP('Matrix - Part 5'!I38,'Matrix - Part 5'!G40:H40,2,FALSE),"")</f>
        <v xml:space="preserve">
</v>
      </c>
      <c r="K11" s="229"/>
      <c r="L11" s="229"/>
      <c r="M11" s="230"/>
      <c r="N11" s="5"/>
    </row>
    <row r="12" spans="1:14" x14ac:dyDescent="0.3">
      <c r="B12" s="232"/>
      <c r="C12" s="232"/>
      <c r="D12" s="232"/>
      <c r="E12" s="232"/>
      <c r="F12" s="231"/>
      <c r="G12" s="232"/>
      <c r="H12" s="232"/>
      <c r="I12" s="233"/>
      <c r="J12" s="231"/>
      <c r="K12" s="232"/>
      <c r="L12" s="232"/>
      <c r="M12" s="233"/>
      <c r="N12" s="5"/>
    </row>
    <row r="13" spans="1:14" x14ac:dyDescent="0.3">
      <c r="B13" s="232"/>
      <c r="C13" s="232"/>
      <c r="D13" s="232"/>
      <c r="E13" s="232"/>
      <c r="F13" s="231"/>
      <c r="G13" s="232"/>
      <c r="H13" s="232"/>
      <c r="I13" s="233"/>
      <c r="J13" s="231"/>
      <c r="K13" s="232"/>
      <c r="L13" s="232"/>
      <c r="M13" s="233"/>
      <c r="N13" s="5"/>
    </row>
    <row r="14" spans="1:14" x14ac:dyDescent="0.3">
      <c r="B14" s="232"/>
      <c r="C14" s="232"/>
      <c r="D14" s="232"/>
      <c r="E14" s="232"/>
      <c r="F14" s="231"/>
      <c r="G14" s="232"/>
      <c r="H14" s="232"/>
      <c r="I14" s="233"/>
      <c r="J14" s="231"/>
      <c r="K14" s="232"/>
      <c r="L14" s="232"/>
      <c r="M14" s="233"/>
      <c r="N14" s="5"/>
    </row>
    <row r="15" spans="1:14" x14ac:dyDescent="0.3">
      <c r="B15" s="232"/>
      <c r="C15" s="232"/>
      <c r="D15" s="232"/>
      <c r="E15" s="232"/>
      <c r="F15" s="231"/>
      <c r="G15" s="232"/>
      <c r="H15" s="232"/>
      <c r="I15" s="233"/>
      <c r="J15" s="231"/>
      <c r="K15" s="232"/>
      <c r="L15" s="232"/>
      <c r="M15" s="233"/>
      <c r="N15" s="5"/>
    </row>
    <row r="16" spans="1:14" x14ac:dyDescent="0.3">
      <c r="B16" s="232"/>
      <c r="C16" s="232"/>
      <c r="D16" s="232"/>
      <c r="E16" s="232"/>
      <c r="F16" s="231"/>
      <c r="G16" s="232"/>
      <c r="H16" s="232"/>
      <c r="I16" s="233"/>
      <c r="J16" s="231"/>
      <c r="K16" s="232"/>
      <c r="L16" s="232"/>
      <c r="M16" s="233"/>
      <c r="N16" s="5"/>
    </row>
    <row r="17" spans="2:14" x14ac:dyDescent="0.3">
      <c r="B17" s="232"/>
      <c r="C17" s="232"/>
      <c r="D17" s="232"/>
      <c r="E17" s="232"/>
      <c r="F17" s="231"/>
      <c r="G17" s="232"/>
      <c r="H17" s="232"/>
      <c r="I17" s="233"/>
      <c r="J17" s="231"/>
      <c r="K17" s="232"/>
      <c r="L17" s="232"/>
      <c r="M17" s="233"/>
      <c r="N17" s="5"/>
    </row>
    <row r="18" spans="2:14" x14ac:dyDescent="0.3">
      <c r="B18" s="232"/>
      <c r="C18" s="232"/>
      <c r="D18" s="232"/>
      <c r="E18" s="232"/>
      <c r="F18" s="231"/>
      <c r="G18" s="232"/>
      <c r="H18" s="232"/>
      <c r="I18" s="233"/>
      <c r="J18" s="231"/>
      <c r="K18" s="232"/>
      <c r="L18" s="232"/>
      <c r="M18" s="233"/>
      <c r="N18" s="5"/>
    </row>
    <row r="19" spans="2:14" x14ac:dyDescent="0.3">
      <c r="B19" s="232"/>
      <c r="C19" s="232"/>
      <c r="D19" s="232"/>
      <c r="E19" s="232"/>
      <c r="F19" s="231"/>
      <c r="G19" s="232"/>
      <c r="H19" s="232"/>
      <c r="I19" s="233"/>
      <c r="J19" s="231"/>
      <c r="K19" s="232"/>
      <c r="L19" s="232"/>
      <c r="M19" s="233"/>
      <c r="N19" s="5"/>
    </row>
    <row r="20" spans="2:14" x14ac:dyDescent="0.3">
      <c r="B20" s="232"/>
      <c r="C20" s="232"/>
      <c r="D20" s="232"/>
      <c r="E20" s="232"/>
      <c r="F20" s="231"/>
      <c r="G20" s="232"/>
      <c r="H20" s="232"/>
      <c r="I20" s="233"/>
      <c r="J20" s="231"/>
      <c r="K20" s="232"/>
      <c r="L20" s="232"/>
      <c r="M20" s="233"/>
      <c r="N20" s="5"/>
    </row>
    <row r="21" spans="2:14" x14ac:dyDescent="0.3">
      <c r="B21" s="232"/>
      <c r="C21" s="232"/>
      <c r="D21" s="232"/>
      <c r="E21" s="232"/>
      <c r="F21" s="231"/>
      <c r="G21" s="232"/>
      <c r="H21" s="232"/>
      <c r="I21" s="233"/>
      <c r="J21" s="231"/>
      <c r="K21" s="232"/>
      <c r="L21" s="232"/>
      <c r="M21" s="233"/>
      <c r="N21" s="5"/>
    </row>
    <row r="22" spans="2:14" x14ac:dyDescent="0.3">
      <c r="B22" s="232"/>
      <c r="C22" s="232"/>
      <c r="D22" s="232"/>
      <c r="E22" s="232"/>
      <c r="F22" s="231"/>
      <c r="G22" s="232"/>
      <c r="H22" s="232"/>
      <c r="I22" s="233"/>
      <c r="J22" s="231"/>
      <c r="K22" s="232"/>
      <c r="L22" s="232"/>
      <c r="M22" s="233"/>
      <c r="N22" s="5"/>
    </row>
    <row r="23" spans="2:14" x14ac:dyDescent="0.3">
      <c r="B23" s="232"/>
      <c r="C23" s="232"/>
      <c r="D23" s="232"/>
      <c r="E23" s="232"/>
      <c r="F23" s="231"/>
      <c r="G23" s="232"/>
      <c r="H23" s="232"/>
      <c r="I23" s="233"/>
      <c r="J23" s="231"/>
      <c r="K23" s="232"/>
      <c r="L23" s="232"/>
      <c r="M23" s="233"/>
      <c r="N23" s="5"/>
    </row>
    <row r="24" spans="2:14" x14ac:dyDescent="0.3">
      <c r="B24" s="232"/>
      <c r="C24" s="232"/>
      <c r="D24" s="232"/>
      <c r="E24" s="232"/>
      <c r="F24" s="231"/>
      <c r="G24" s="232"/>
      <c r="H24" s="232"/>
      <c r="I24" s="233"/>
      <c r="J24" s="231"/>
      <c r="K24" s="232"/>
      <c r="L24" s="232"/>
      <c r="M24" s="233"/>
      <c r="N24" s="5"/>
    </row>
    <row r="25" spans="2:14" x14ac:dyDescent="0.3">
      <c r="B25" s="232"/>
      <c r="C25" s="232"/>
      <c r="D25" s="232"/>
      <c r="E25" s="232"/>
      <c r="F25" s="231"/>
      <c r="G25" s="232"/>
      <c r="H25" s="232"/>
      <c r="I25" s="233"/>
      <c r="J25" s="231"/>
      <c r="K25" s="232"/>
      <c r="L25" s="232"/>
      <c r="M25" s="233"/>
      <c r="N25" s="5"/>
    </row>
    <row r="26" spans="2:14" x14ac:dyDescent="0.3">
      <c r="B26" s="232"/>
      <c r="C26" s="232"/>
      <c r="D26" s="232"/>
      <c r="E26" s="232"/>
      <c r="F26" s="231"/>
      <c r="G26" s="232"/>
      <c r="H26" s="232"/>
      <c r="I26" s="233"/>
      <c r="J26" s="231"/>
      <c r="K26" s="232"/>
      <c r="L26" s="232"/>
      <c r="M26" s="233"/>
      <c r="N26" s="5"/>
    </row>
    <row r="27" spans="2:14" x14ac:dyDescent="0.3">
      <c r="B27" s="232"/>
      <c r="C27" s="232"/>
      <c r="D27" s="232"/>
      <c r="E27" s="232"/>
      <c r="F27" s="231"/>
      <c r="G27" s="232"/>
      <c r="H27" s="232"/>
      <c r="I27" s="233"/>
      <c r="J27" s="231"/>
      <c r="K27" s="232"/>
      <c r="L27" s="232"/>
      <c r="M27" s="233"/>
      <c r="N27" s="5"/>
    </row>
    <row r="28" spans="2:14" x14ac:dyDescent="0.3">
      <c r="B28" s="232"/>
      <c r="C28" s="232"/>
      <c r="D28" s="232"/>
      <c r="E28" s="232"/>
      <c r="F28" s="231"/>
      <c r="G28" s="232"/>
      <c r="H28" s="232"/>
      <c r="I28" s="233"/>
      <c r="J28" s="231"/>
      <c r="K28" s="232"/>
      <c r="L28" s="232"/>
      <c r="M28" s="233"/>
      <c r="N28" s="5"/>
    </row>
    <row r="29" spans="2:14" x14ac:dyDescent="0.3">
      <c r="B29" s="232"/>
      <c r="C29" s="232"/>
      <c r="D29" s="232"/>
      <c r="E29" s="232"/>
      <c r="F29" s="231"/>
      <c r="G29" s="232"/>
      <c r="H29" s="232"/>
      <c r="I29" s="233"/>
      <c r="J29" s="231"/>
      <c r="K29" s="232"/>
      <c r="L29" s="232"/>
      <c r="M29" s="233"/>
      <c r="N29" s="5"/>
    </row>
    <row r="30" spans="2:14" x14ac:dyDescent="0.3">
      <c r="B30" s="232"/>
      <c r="C30" s="232"/>
      <c r="D30" s="232"/>
      <c r="E30" s="232"/>
      <c r="F30" s="231"/>
      <c r="G30" s="232"/>
      <c r="H30" s="232"/>
      <c r="I30" s="233"/>
      <c r="J30" s="231"/>
      <c r="K30" s="232"/>
      <c r="L30" s="232"/>
      <c r="M30" s="233"/>
      <c r="N30" s="5"/>
    </row>
    <row r="31" spans="2:14" x14ac:dyDescent="0.3">
      <c r="B31" s="232"/>
      <c r="C31" s="232"/>
      <c r="D31" s="232"/>
      <c r="E31" s="232"/>
      <c r="F31" s="231"/>
      <c r="G31" s="232"/>
      <c r="H31" s="232"/>
      <c r="I31" s="233"/>
      <c r="J31" s="231"/>
      <c r="K31" s="232"/>
      <c r="L31" s="232"/>
      <c r="M31" s="233"/>
      <c r="N31" s="5"/>
    </row>
    <row r="32" spans="2:14" x14ac:dyDescent="0.3">
      <c r="B32" s="232"/>
      <c r="C32" s="232"/>
      <c r="D32" s="232"/>
      <c r="E32" s="232"/>
      <c r="F32" s="231"/>
      <c r="G32" s="232"/>
      <c r="H32" s="232"/>
      <c r="I32" s="233"/>
      <c r="J32" s="231"/>
      <c r="K32" s="232"/>
      <c r="L32" s="232"/>
      <c r="M32" s="233"/>
      <c r="N32" s="5"/>
    </row>
    <row r="33" spans="2:14" ht="15" thickBot="1" x14ac:dyDescent="0.35">
      <c r="B33" s="232"/>
      <c r="C33" s="232"/>
      <c r="D33" s="232"/>
      <c r="E33" s="232"/>
      <c r="F33" s="234"/>
      <c r="G33" s="235"/>
      <c r="H33" s="235"/>
      <c r="I33" s="236"/>
      <c r="J33" s="234"/>
      <c r="K33" s="235"/>
      <c r="L33" s="235"/>
      <c r="M33" s="236"/>
      <c r="N33" s="5"/>
    </row>
    <row r="34" spans="2:14" x14ac:dyDescent="0.3">
      <c r="B34" s="232"/>
      <c r="C34" s="232"/>
      <c r="D34" s="232"/>
      <c r="E34" s="232"/>
      <c r="F34" s="34"/>
      <c r="G34" s="34"/>
      <c r="H34" s="34"/>
      <c r="I34" s="34"/>
      <c r="J34" s="34"/>
      <c r="K34" s="34"/>
      <c r="L34" s="34"/>
      <c r="M34" s="34"/>
      <c r="N34" s="5"/>
    </row>
    <row r="35" spans="2:14" x14ac:dyDescent="0.3">
      <c r="B35" s="232"/>
      <c r="C35" s="232"/>
      <c r="D35" s="232"/>
      <c r="E35" s="232"/>
      <c r="F35" s="34"/>
      <c r="G35" s="34"/>
      <c r="H35" s="34"/>
      <c r="I35" s="34"/>
      <c r="J35" s="34"/>
      <c r="K35" s="34"/>
      <c r="L35" s="34"/>
      <c r="M35" s="34"/>
      <c r="N35" s="5"/>
    </row>
    <row r="36" spans="2:14" x14ac:dyDescent="0.3">
      <c r="B36" s="232"/>
      <c r="C36" s="232"/>
      <c r="D36" s="232"/>
      <c r="E36" s="232"/>
      <c r="F36" s="5"/>
      <c r="G36" s="5"/>
    </row>
    <row r="37" spans="2:14" x14ac:dyDescent="0.3">
      <c r="B37" s="232"/>
      <c r="C37" s="232"/>
      <c r="D37" s="232"/>
      <c r="E37" s="232"/>
      <c r="F37" s="5"/>
      <c r="G37" s="5"/>
    </row>
    <row r="38" spans="2:14" x14ac:dyDescent="0.3">
      <c r="B38" s="232"/>
      <c r="C38" s="232"/>
      <c r="D38" s="232"/>
      <c r="E38" s="232"/>
      <c r="F38" s="5"/>
      <c r="G38" s="5"/>
    </row>
    <row r="39" spans="2:14" x14ac:dyDescent="0.3">
      <c r="B39" s="232"/>
      <c r="C39" s="232"/>
      <c r="D39" s="232"/>
      <c r="E39" s="232"/>
    </row>
    <row r="40" spans="2:14" x14ac:dyDescent="0.3">
      <c r="B40" s="232"/>
      <c r="C40" s="232"/>
      <c r="D40" s="232"/>
      <c r="E40" s="232"/>
    </row>
    <row r="41" spans="2:14" x14ac:dyDescent="0.3">
      <c r="B41" s="232"/>
      <c r="C41" s="232"/>
      <c r="D41" s="232"/>
      <c r="E41" s="232"/>
    </row>
    <row r="42" spans="2:14" x14ac:dyDescent="0.3">
      <c r="B42" s="232"/>
      <c r="C42" s="232"/>
      <c r="D42" s="232"/>
      <c r="E42" s="232"/>
    </row>
    <row r="43" spans="2:14" x14ac:dyDescent="0.3">
      <c r="B43" s="232"/>
      <c r="C43" s="232"/>
      <c r="D43" s="232"/>
      <c r="E43" s="232"/>
    </row>
    <row r="44" spans="2:14" x14ac:dyDescent="0.3">
      <c r="B44" s="232"/>
      <c r="C44" s="232"/>
      <c r="D44" s="232"/>
      <c r="E44" s="232"/>
    </row>
    <row r="45" spans="2:14" x14ac:dyDescent="0.3">
      <c r="B45" s="232"/>
      <c r="C45" s="232"/>
      <c r="D45" s="232"/>
      <c r="E45" s="232"/>
    </row>
    <row r="46" spans="2:14" x14ac:dyDescent="0.3">
      <c r="B46" s="232"/>
      <c r="C46" s="232"/>
      <c r="D46" s="232"/>
      <c r="E46" s="232"/>
    </row>
    <row r="47" spans="2:14" x14ac:dyDescent="0.3">
      <c r="B47" s="232"/>
      <c r="C47" s="232"/>
      <c r="D47" s="232"/>
      <c r="E47" s="232"/>
    </row>
    <row r="48" spans="2:14" x14ac:dyDescent="0.3">
      <c r="B48" s="232"/>
      <c r="C48" s="232"/>
      <c r="D48" s="232"/>
      <c r="E48" s="232"/>
    </row>
    <row r="49" spans="2:5" x14ac:dyDescent="0.3">
      <c r="B49" s="232"/>
      <c r="C49" s="232"/>
      <c r="D49" s="232"/>
      <c r="E49" s="232"/>
    </row>
    <row r="50" spans="2:5" x14ac:dyDescent="0.3">
      <c r="B50" s="232"/>
      <c r="C50" s="232"/>
      <c r="D50" s="232"/>
      <c r="E50" s="232"/>
    </row>
    <row r="51" spans="2:5" x14ac:dyDescent="0.3">
      <c r="B51" s="232"/>
      <c r="C51" s="232"/>
      <c r="D51" s="232"/>
      <c r="E51" s="232"/>
    </row>
    <row r="52" spans="2:5" x14ac:dyDescent="0.3">
      <c r="B52" s="232"/>
      <c r="C52" s="232"/>
      <c r="D52" s="232"/>
      <c r="E52" s="232"/>
    </row>
    <row r="53" spans="2:5" x14ac:dyDescent="0.3">
      <c r="B53" s="232"/>
      <c r="C53" s="232"/>
      <c r="D53" s="232"/>
      <c r="E53" s="232"/>
    </row>
    <row r="54" spans="2:5" x14ac:dyDescent="0.3">
      <c r="B54" s="232"/>
      <c r="C54" s="232"/>
      <c r="D54" s="232"/>
      <c r="E54" s="232"/>
    </row>
    <row r="55" spans="2:5" x14ac:dyDescent="0.3">
      <c r="B55" s="232"/>
      <c r="C55" s="232"/>
      <c r="D55" s="232"/>
      <c r="E55" s="232"/>
    </row>
    <row r="56" spans="2:5" x14ac:dyDescent="0.3">
      <c r="B56" s="232"/>
      <c r="C56" s="232"/>
      <c r="D56" s="232"/>
      <c r="E56" s="232"/>
    </row>
    <row r="57" spans="2:5" x14ac:dyDescent="0.3">
      <c r="B57" s="232"/>
      <c r="C57" s="232"/>
      <c r="D57" s="232"/>
      <c r="E57" s="232"/>
    </row>
    <row r="58" spans="2:5" x14ac:dyDescent="0.3">
      <c r="B58" s="232"/>
      <c r="C58" s="232"/>
      <c r="D58" s="232"/>
      <c r="E58" s="232"/>
    </row>
    <row r="59" spans="2:5" x14ac:dyDescent="0.3">
      <c r="B59" s="232"/>
      <c r="C59" s="232"/>
      <c r="D59" s="232"/>
      <c r="E59" s="232"/>
    </row>
    <row r="60" spans="2:5" x14ac:dyDescent="0.3">
      <c r="B60" s="232"/>
      <c r="C60" s="232"/>
      <c r="D60" s="232"/>
      <c r="E60" s="232"/>
    </row>
    <row r="61" spans="2:5" x14ac:dyDescent="0.3">
      <c r="B61" s="232"/>
      <c r="C61" s="232"/>
      <c r="D61" s="232"/>
      <c r="E61" s="232"/>
    </row>
    <row r="62" spans="2:5" x14ac:dyDescent="0.3">
      <c r="B62" s="232"/>
      <c r="C62" s="232"/>
      <c r="D62" s="232"/>
      <c r="E62" s="232"/>
    </row>
    <row r="63" spans="2:5" x14ac:dyDescent="0.3">
      <c r="B63" s="232"/>
      <c r="C63" s="232"/>
      <c r="D63" s="232"/>
      <c r="E63" s="232"/>
    </row>
    <row r="64" spans="2:5" x14ac:dyDescent="0.3">
      <c r="B64" s="232"/>
      <c r="C64" s="232"/>
      <c r="D64" s="232"/>
      <c r="E64" s="232"/>
    </row>
    <row r="65" spans="2:5" x14ac:dyDescent="0.3">
      <c r="B65" s="232"/>
      <c r="C65" s="232"/>
      <c r="D65" s="232"/>
      <c r="E65" s="232"/>
    </row>
    <row r="66" spans="2:5" x14ac:dyDescent="0.3">
      <c r="B66" s="232"/>
      <c r="C66" s="232"/>
      <c r="D66" s="232"/>
      <c r="E66" s="232"/>
    </row>
    <row r="67" spans="2:5" x14ac:dyDescent="0.3">
      <c r="B67" s="232"/>
      <c r="C67" s="232"/>
      <c r="D67" s="232"/>
      <c r="E67" s="232"/>
    </row>
    <row r="68" spans="2:5" x14ac:dyDescent="0.3">
      <c r="B68" s="232"/>
      <c r="C68" s="232"/>
      <c r="D68" s="232"/>
      <c r="E68" s="232"/>
    </row>
    <row r="69" spans="2:5" x14ac:dyDescent="0.3">
      <c r="B69" s="232"/>
      <c r="C69" s="232"/>
      <c r="D69" s="232"/>
      <c r="E69" s="232"/>
    </row>
    <row r="70" spans="2:5" x14ac:dyDescent="0.3">
      <c r="B70" s="232"/>
      <c r="C70" s="232"/>
      <c r="D70" s="232"/>
      <c r="E70" s="232"/>
    </row>
    <row r="71" spans="2:5" x14ac:dyDescent="0.3">
      <c r="B71" s="232"/>
      <c r="C71" s="232"/>
      <c r="D71" s="232"/>
      <c r="E71" s="232"/>
    </row>
    <row r="72" spans="2:5" x14ac:dyDescent="0.3">
      <c r="B72" s="232"/>
      <c r="C72" s="232"/>
      <c r="D72" s="232"/>
      <c r="E72" s="232"/>
    </row>
  </sheetData>
  <mergeCells count="11">
    <mergeCell ref="B11:E72"/>
    <mergeCell ref="F11:I33"/>
    <mergeCell ref="J11:M33"/>
    <mergeCell ref="H1:M2"/>
    <mergeCell ref="B5:D5"/>
    <mergeCell ref="E5:M5"/>
    <mergeCell ref="B6:D8"/>
    <mergeCell ref="E6:M8"/>
    <mergeCell ref="B10:E10"/>
    <mergeCell ref="F10:I10"/>
    <mergeCell ref="J10:M10"/>
  </mergeCells>
  <conditionalFormatting sqref="B6">
    <cfRule type="cellIs" dxfId="3" priority="1" operator="greaterThan">
      <formula>3.5</formula>
    </cfRule>
    <cfRule type="cellIs" dxfId="2" priority="2" operator="between">
      <formula>2.4</formula>
      <formula>3.4</formula>
    </cfRule>
    <cfRule type="cellIs" dxfId="1" priority="3" operator="between">
      <formula>1.5</formula>
      <formula>2.3</formula>
    </cfRule>
    <cfRule type="cellIs" dxfId="0" priority="4" operator="lessThanOrEqual">
      <formula>1.4</formula>
    </cfRule>
  </conditionalFormatting>
  <pageMargins left="0.7" right="0.7" top="0.75" bottom="0.75" header="0.3" footer="0.3"/>
  <pageSetup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L13"/>
  <sheetViews>
    <sheetView showGridLines="0" view="pageLayout" zoomScale="80" zoomScaleNormal="100" zoomScalePageLayoutView="80" workbookViewId="0">
      <selection activeCell="B11" sqref="B11:E11"/>
    </sheetView>
  </sheetViews>
  <sheetFormatPr defaultRowHeight="14.4" x14ac:dyDescent="0.3"/>
  <cols>
    <col min="2" max="2" width="8.77734375" customWidth="1"/>
  </cols>
  <sheetData>
    <row r="1" spans="2:12" s="7" customFormat="1" x14ac:dyDescent="0.3">
      <c r="B1" s="169" t="s">
        <v>92</v>
      </c>
      <c r="C1" s="169"/>
      <c r="D1" s="169"/>
      <c r="E1" s="169"/>
    </row>
    <row r="3" spans="2:12" x14ac:dyDescent="0.3">
      <c r="B3" s="167" t="s">
        <v>90</v>
      </c>
      <c r="C3" s="167"/>
      <c r="D3" s="167"/>
      <c r="E3" s="167"/>
    </row>
    <row r="7" spans="2:12" x14ac:dyDescent="0.3">
      <c r="B7" s="166" t="e">
        <f>VLOOKUP('Report - Part 2'!C5,'Matrix - Part 2'!A33:B62,2,FALSE)</f>
        <v>#N/A</v>
      </c>
      <c r="C7" s="166"/>
      <c r="D7" s="166"/>
      <c r="E7" s="166"/>
    </row>
    <row r="8" spans="2:12" x14ac:dyDescent="0.3">
      <c r="B8" s="166"/>
      <c r="C8" s="166"/>
      <c r="D8" s="166"/>
      <c r="E8" s="166"/>
    </row>
    <row r="10" spans="2:12" x14ac:dyDescent="0.3">
      <c r="B10" s="169" t="s">
        <v>97</v>
      </c>
      <c r="C10" s="169"/>
      <c r="D10" s="169"/>
      <c r="E10" s="169"/>
    </row>
    <row r="11" spans="2:12" ht="193.05" customHeight="1" x14ac:dyDescent="0.3">
      <c r="B11" s="253" t="e">
        <f>'Matrix - Part 2'!J4&amp;CHAR(10)&amp;CHAR(10)&amp;'Matrix - Part 2'!J9&amp;CHAR(10)&amp;CHAR(10)&amp;'Matrix - Part 2'!#REF!&amp;CHAR(10)&amp;CHAR(10)&amp;'Matrix - Part 2'!#REF!&amp;CHAR(10)&amp;CHAR(10)&amp;'Matrix - Part 2'!J22</f>
        <v>#REF!</v>
      </c>
      <c r="C11" s="253"/>
      <c r="D11" s="253"/>
      <c r="E11" s="253"/>
      <c r="F11" s="167"/>
      <c r="G11" s="167"/>
      <c r="H11" s="167"/>
      <c r="I11" s="167"/>
      <c r="J11" s="167"/>
      <c r="K11" s="167"/>
      <c r="L11" s="167"/>
    </row>
    <row r="13" spans="2:12" x14ac:dyDescent="0.3">
      <c r="B13" s="7"/>
    </row>
  </sheetData>
  <mergeCells count="6">
    <mergeCell ref="F11:L11"/>
    <mergeCell ref="B11:E11"/>
    <mergeCell ref="B3:E3"/>
    <mergeCell ref="B1:E1"/>
    <mergeCell ref="B7:E8"/>
    <mergeCell ref="B10:E10"/>
  </mergeCells>
  <pageMargins left="0.7" right="0.7" top="0.75" bottom="0.75" header="0.3" footer="0.3"/>
  <pageSetup orientation="landscape"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Answer Sheet</vt:lpstr>
      <vt:lpstr>Matrix - Part 1</vt:lpstr>
      <vt:lpstr>ErgoCheck Report</vt:lpstr>
      <vt:lpstr>Supervisor Report</vt:lpstr>
      <vt:lpstr>Supervisor Report Logic</vt:lpstr>
      <vt:lpstr>Matrix - Part 2</vt:lpstr>
      <vt:lpstr>Sheet1</vt:lpstr>
      <vt:lpstr>OMR Report - Part 2</vt:lpstr>
      <vt:lpstr>Report - Part 2</vt:lpstr>
      <vt:lpstr>Matrix - Part 3</vt:lpstr>
      <vt:lpstr>Report - Part 3</vt:lpstr>
      <vt:lpstr>OMR Report - Part 3</vt:lpstr>
      <vt:lpstr>Matrix - Part 4</vt:lpstr>
      <vt:lpstr>OMR Report - Part 4</vt:lpstr>
      <vt:lpstr>Matrix - Part 5</vt:lpstr>
      <vt:lpstr>Matrix - Part 6</vt:lpstr>
      <vt:lpstr>OMR Report - Part 5</vt:lpstr>
      <vt:lpstr>Report</vt:lpstr>
    </vt:vector>
  </TitlesOfParts>
  <Company>City of Vancouver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Smith, Liam</dc:creator>
  <cp:lastModifiedBy>Wright, Geoffrey</cp:lastModifiedBy>
  <cp:lastPrinted>2021-06-30T23:19:21Z</cp:lastPrinted>
  <dcterms:created xsi:type="dcterms:W3CDTF">2021-05-27T19:54:13Z</dcterms:created>
  <dcterms:modified xsi:type="dcterms:W3CDTF">2022-01-20T19:29:33Z</dcterms:modified>
</cp:coreProperties>
</file>