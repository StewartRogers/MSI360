
<file path=[Content_Types].xml><?xml version="1.0" encoding="utf-8"?>
<Types xmlns="http://schemas.openxmlformats.org/package/2006/content-types">
  <Default ContentType="image/jpeg" Extension="jpg"/>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Answer Sheet" sheetId="1" r:id="rId5"/>
    <sheet state="visible" name="ErgoCheck Report" sheetId="2" r:id="rId6"/>
    <sheet state="visible" name="Supervisor Report" sheetId="3" r:id="rId7"/>
    <sheet state="visible" name="Matrix - Part 1" sheetId="4" r:id="rId8"/>
    <sheet state="hidden" name="Supervisor Report Logic" sheetId="5" r:id="rId9"/>
    <sheet state="visible" name="Matrix - Part 2" sheetId="6" r:id="rId10"/>
    <sheet state="hidden" name="Sheet1" sheetId="7" r:id="rId11"/>
    <sheet state="hidden" name="OMR Report - Part 2" sheetId="8" r:id="rId12"/>
    <sheet state="hidden" name="Report - Part 2" sheetId="9" r:id="rId13"/>
    <sheet state="hidden" name="Matrix - Part 3" sheetId="10" r:id="rId14"/>
    <sheet state="hidden" name="Report - Part 3" sheetId="11" r:id="rId15"/>
    <sheet state="hidden" name="OMR Report - Part 3" sheetId="12" r:id="rId16"/>
    <sheet state="hidden" name="Matrix - Part 4" sheetId="13" r:id="rId17"/>
    <sheet state="hidden" name="OMR Report - Part 4" sheetId="14" r:id="rId18"/>
    <sheet state="hidden" name="Matrix - Part 5" sheetId="15" r:id="rId19"/>
    <sheet state="hidden" name="Matrix - Part 6" sheetId="16" r:id="rId20"/>
    <sheet state="hidden" name="OMR Report - Part 5" sheetId="17" r:id="rId21"/>
    <sheet state="hidden" name="Report" sheetId="18" r:id="rId22"/>
  </sheets>
  <definedNames/>
  <calcPr/>
  <extLst>
    <ext uri="GoogleSheetsCustomDataVersion2">
      <go:sheetsCustomData xmlns:go="http://customooxmlschemas.google.com/" r:id="rId23" roundtripDataChecksum="bH1fMgnqzForkyzDce2kK+dK5TrLhJ1lNXPT+ChUklI="/>
    </ext>
  </extLst>
</workbook>
</file>

<file path=xl/sharedStrings.xml><?xml version="1.0" encoding="utf-8"?>
<sst xmlns="http://schemas.openxmlformats.org/spreadsheetml/2006/main" count="983" uniqueCount="528">
  <si>
    <t>ErgoCheck Risk Report</t>
  </si>
  <si>
    <t>Musculoskeletal Evaluation Tool</t>
  </si>
  <si>
    <t>DEMONSTRATION VERSION</t>
  </si>
  <si>
    <t xml:space="preserve">For administrative use only. Please enter the identification code associated with the response to the respective question on the survey administered. Provide the completed report to the Superintendent or Supervisor for further planning and consideration.  </t>
  </si>
  <si>
    <t>Name:</t>
  </si>
  <si>
    <t>Occupation:</t>
  </si>
  <si>
    <t>Date:</t>
  </si>
  <si>
    <t xml:space="preserve">Time in this occupation: </t>
  </si>
  <si>
    <t xml:space="preserve">Time in this occupation with the City: </t>
  </si>
  <si>
    <t>Part One</t>
  </si>
  <si>
    <t>Part Two</t>
  </si>
  <si>
    <t>Part Three</t>
  </si>
  <si>
    <t>Part Four</t>
  </si>
  <si>
    <t>Part Five</t>
  </si>
  <si>
    <t>Part Six</t>
  </si>
  <si>
    <t>Job Context</t>
  </si>
  <si>
    <t>Contact Stress</t>
  </si>
  <si>
    <t>Force</t>
  </si>
  <si>
    <t>Awkward Posture</t>
  </si>
  <si>
    <t>Repetition</t>
  </si>
  <si>
    <t>Environment</t>
  </si>
  <si>
    <t>Q1</t>
  </si>
  <si>
    <t>Q4</t>
  </si>
  <si>
    <t>Q8</t>
  </si>
  <si>
    <t>Q13</t>
  </si>
  <si>
    <t>Q22</t>
  </si>
  <si>
    <t>Q30</t>
  </si>
  <si>
    <t>Q2</t>
  </si>
  <si>
    <t>Q5</t>
  </si>
  <si>
    <t>Q9</t>
  </si>
  <si>
    <t>Q14</t>
  </si>
  <si>
    <t>Q23</t>
  </si>
  <si>
    <t>Q31</t>
  </si>
  <si>
    <t>Q3</t>
  </si>
  <si>
    <t>Q6</t>
  </si>
  <si>
    <t>Q10</t>
  </si>
  <si>
    <t>Q15</t>
  </si>
  <si>
    <t>Q24</t>
  </si>
  <si>
    <t>Q32</t>
  </si>
  <si>
    <t>Q7</t>
  </si>
  <si>
    <t>Q11</t>
  </si>
  <si>
    <t>Q16</t>
  </si>
  <si>
    <t>Q25</t>
  </si>
  <si>
    <t>Q33</t>
  </si>
  <si>
    <t>Q12</t>
  </si>
  <si>
    <t>Q17</t>
  </si>
  <si>
    <t>Q26</t>
  </si>
  <si>
    <t>Q18</t>
  </si>
  <si>
    <t>Q27</t>
  </si>
  <si>
    <t>Q19</t>
  </si>
  <si>
    <t>Q28</t>
  </si>
  <si>
    <t>Q20</t>
  </si>
  <si>
    <t>Q29</t>
  </si>
  <si>
    <t>Q21</t>
  </si>
  <si>
    <t>Naming Convention for this report: Occupation - Buisness Unit - Department - ErgoCheck Risk Report - Date</t>
  </si>
  <si>
    <t>Version 1.3.21
Developed by Geoff Wright &amp; Liam Smith
© City of Vancouver</t>
  </si>
  <si>
    <t>Count of Known Risk - Need Risk Control Plan</t>
  </si>
  <si>
    <t>Count of Likely Risk - Consider Interventions</t>
  </si>
  <si>
    <t>Count of Possible Risk - Further Evaluation Required</t>
  </si>
  <si>
    <t xml:space="preserve">Note: It is recommended to address risks in order of their severity. </t>
  </si>
  <si>
    <t xml:space="preserve">
Risks are reduced using the hierarchy of controls, in priority order - starting with hazard elimination and ending with the use of Personal Protective Equipment to control the residual risk of injury or health impairment. Please reference HR - OHS - SMS P 002 Risk Assessment Program or contact your business unit Safety Specialist for further information. </t>
  </si>
  <si>
    <t>Version 1.1.21</t>
  </si>
  <si>
    <t>City of Vancouver</t>
  </si>
  <si>
    <t>Overall Musculoskeletal Risk:
Contact Stress</t>
  </si>
  <si>
    <t>OMR (1-4)</t>
  </si>
  <si>
    <t>Notice</t>
  </si>
  <si>
    <t>Warning - Actions Required</t>
  </si>
  <si>
    <t>Warning - Consider Actions</t>
  </si>
  <si>
    <t>Further Evaluation Required</t>
  </si>
  <si>
    <r>
      <rPr>
        <rFont val="Calibri"/>
        <b/>
        <i/>
        <color theme="1"/>
        <sz val="9.0"/>
      </rPr>
      <t>TIP</t>
    </r>
    <r>
      <rPr>
        <rFont val="Calibri"/>
        <i/>
        <color theme="1"/>
        <sz val="9.0"/>
      </rPr>
      <t>: Determine which tools or edges in the workplace are the cause of contact stress. Remedial actions for contract stress can range from replacement to the reduction of use/contact of the tool/edge.</t>
    </r>
  </si>
  <si>
    <t>Overall Musculoskeletal Risk:
Force</t>
  </si>
  <si>
    <r>
      <rPr>
        <rFont val="Calibri"/>
        <b/>
        <i/>
        <color theme="1"/>
        <sz val="9.0"/>
      </rPr>
      <t>TIP</t>
    </r>
    <r>
      <rPr>
        <rFont val="Calibri"/>
        <i/>
        <color theme="1"/>
        <sz val="9.0"/>
      </rPr>
      <t>: Determine which tasks in the workplace result in forceful exertions. Interventions for force can range from substitution to lighter items/products to administrative changes to facilitate the use of assistance/mechanical assists.</t>
    </r>
  </si>
  <si>
    <t>Overall Musculoskeletal Risk:
Awkward Posture</t>
  </si>
  <si>
    <r>
      <rPr>
        <rFont val="Calibri"/>
        <b/>
        <i/>
        <color theme="1"/>
        <sz val="9.0"/>
      </rPr>
      <t>TIP</t>
    </r>
    <r>
      <rPr>
        <rFont val="Calibri"/>
        <i/>
        <color theme="1"/>
        <sz val="9.0"/>
      </rPr>
      <t>: Determine if the workstation layout or some other factors are resulting in awkward postures. Remedial actions for awkward posture can include changes in workstation layout.</t>
    </r>
  </si>
  <si>
    <t>Overall Musculoskeletal Risk:
Repetition</t>
  </si>
  <si>
    <r>
      <rPr>
        <rFont val="Calibri"/>
        <b/>
        <i/>
        <color theme="1"/>
        <sz val="9.0"/>
      </rPr>
      <t xml:space="preserve">TIP: </t>
    </r>
    <r>
      <rPr>
        <rFont val="Calibri"/>
        <i/>
        <color theme="1"/>
        <sz val="9.0"/>
      </rPr>
      <t>Determine the job tasks that require frequent movements of long duration. Remedial actions for repitition can include the appropriate use of job rotation and/or changes in requirements of the job.</t>
    </r>
  </si>
  <si>
    <t>Overall Musculoskeletal Risk:
Environmental Factors</t>
  </si>
  <si>
    <t>ErgoCheck Corrective Action Guide</t>
  </si>
  <si>
    <t>Step One - Understanding the Risks</t>
  </si>
  <si>
    <t>Definition</t>
  </si>
  <si>
    <t>Hazards</t>
  </si>
  <si>
    <t>I - Contact Stress</t>
  </si>
  <si>
    <t>II - Force</t>
  </si>
  <si>
    <t>III - Awkward Posture</t>
  </si>
  <si>
    <t>IV - Repetition</t>
  </si>
  <si>
    <t>Step Two - Finding the Hazards</t>
  </si>
  <si>
    <t xml:space="preserve">To effectively use this report, we must understand the hazards, and define our next steps. Included here are reccomendations on what to do next as a Supervisor. </t>
  </si>
  <si>
    <t xml:space="preserve">IV - Repetition </t>
  </si>
  <si>
    <t>Step Three - Creating the Actions</t>
  </si>
  <si>
    <t xml:space="preserve">Now that we understand the hazards, we must create actions to address them. Included below are examples of corrective actions which can be taken. Always follow the hierarchy of controls when assigning corrective actions. </t>
  </si>
  <si>
    <t xml:space="preserve">Job Context </t>
  </si>
  <si>
    <t>Part 1, Question 1</t>
  </si>
  <si>
    <t>Which best describes the job duties you perform?</t>
  </si>
  <si>
    <t>1A</t>
  </si>
  <si>
    <t>Indoor/Outdoor Operations</t>
  </si>
  <si>
    <t xml:space="preserve">This report has been generated to inform departmental leadership of the unique and personal challenges an individual in Field Operations is exposed to. Ergonomic hazards associated with contact stress, force, awkward posture and repetition are prioritized based on the known level of risk. </t>
  </si>
  <si>
    <t>1B</t>
  </si>
  <si>
    <t>Office or Clerical</t>
  </si>
  <si>
    <t xml:space="preserve">This report has been generated to inform departmental leadership of the unique and personal challenges an individual in an Office/Clerical environment is exposed to. Ergonomic hazards associated with contact stress, force, awkward posture and repetition are prioritized based on the known level of risk. </t>
  </si>
  <si>
    <t>Part 1, Question 3</t>
  </si>
  <si>
    <t>How much control do you have over the organization of your work and/or input into the tools used in your job?</t>
  </si>
  <si>
    <t>3A</t>
  </si>
  <si>
    <t>None</t>
  </si>
  <si>
    <t xml:space="preserve">When reviewing and considering actions from the results of this report, please note the respondee has indicated they have no control over the organization of their work or input into the tools used in their job. It Is critical that employees are involved in the corrective actions and design of their work. </t>
  </si>
  <si>
    <t>3B</t>
  </si>
  <si>
    <t>Little</t>
  </si>
  <si>
    <t xml:space="preserve">When reviewing and considering actions from the results of this report, please note the respondee has indicated they have little control over the organization of their work or input into the tools used in their job. It Is critical that employees are involved in the corrective actions and design of their work. </t>
  </si>
  <si>
    <t>3C</t>
  </si>
  <si>
    <t>Some</t>
  </si>
  <si>
    <t xml:space="preserve">When reviewing and considering actions from the results of this report, please note the respondee has indicated they have some control over the organization of their work or input into the tools used in their job. It Is important that employees are continually involved in the corrective actions and design of their work. </t>
  </si>
  <si>
    <t>3D</t>
  </si>
  <si>
    <t>A Lot</t>
  </si>
  <si>
    <t xml:space="preserve">When reviewing and considering actions from the results of this report, please note the respondee has indicated they have a lot control over the organization of their work or input into the tools used in their job.  It Is important that employees are continually involved in the corrective actions and design of their work. </t>
  </si>
  <si>
    <t>OMR = 4</t>
  </si>
  <si>
    <t>OMR = 3</t>
  </si>
  <si>
    <t>OMR = 2</t>
  </si>
  <si>
    <t>OMR = 1</t>
  </si>
  <si>
    <t>&amp;"The employee has performed this work for"&amp;'Answer Sheet'!G10:L10&amp;"of the"&amp;'Answer Sheet'!U10:W10&amp;"they have been with the City."</t>
  </si>
  <si>
    <t xml:space="preserve">Category </t>
  </si>
  <si>
    <t>High Risk Statements</t>
  </si>
  <si>
    <t>Detailed Clarification Statement (What is the problem?)</t>
  </si>
  <si>
    <t>Item Summary (What should my next steps be?)</t>
  </si>
  <si>
    <t>Action (What should I do?)</t>
  </si>
  <si>
    <t>When a worker has frequent localized contact with sharp edges/objects, tissues and nerves beneath the skin can be injured from the pressure.</t>
  </si>
  <si>
    <t xml:space="preserve">Identify sharp edges (i.e. not rounded) in the workplace the worker is exposed to. Remember, these could be things like table edges, tools and tool handles used by the worker. </t>
  </si>
  <si>
    <t xml:space="preserve">Modify the workers tool or workspace to remove contact  with sharp edges/objects. Consider changing the tools/objects if modification is not possible. </t>
  </si>
  <si>
    <t xml:space="preserve">Determine when/where the worker is required to kneel on hard or rough surfaces. This may be surfaces like gravel, tile, frozen ground, hardwood or cement. </t>
  </si>
  <si>
    <t xml:space="preserve">Modify the workplace to remove the hard/rough surface. Where this is not possible, provide the worker with knee pads. </t>
  </si>
  <si>
    <t xml:space="preserve">With the worker, identify what tasks they are using their body parts as a make-shift tool. They may be using their palm or knee as a hammer, for example. </t>
  </si>
  <si>
    <t xml:space="preserve">Ask the worker if they have the correct tools for the task(s). If the worker already has the correct tools, ensure that they are easily accessible and in a useable condition. </t>
  </si>
  <si>
    <t xml:space="preserve">When a worker moves (lifts, pushes, pulls, carries or supports) objects, muscles and tendons can be overloaded when a strong force is applied against the object, or when a weak force is applied many times over a long period of time. </t>
  </si>
  <si>
    <t>With the worker, identify what tasks require them to push/pull heavy objects and why there isn't mechanical assistance. Heavy objects could be items such as tree trunks, office equipment or pool supplies.</t>
  </si>
  <si>
    <t xml:space="preserve">Provide the worker with mechanical assistance, such as a pallet jack, dolly or winch for heavy objects which are moved frequently. If providing mechanical assistance is not possible, consider a procedure which transfers the weight between multiple workers, often referred to as a group lift, push or pull. </t>
  </si>
  <si>
    <t>Identify the tools which weigh greater than 18lbs. These may be tools such as leaf blowers, jack hammers and gas saws.</t>
  </si>
  <si>
    <t>Replace the tools with alternative, lighter tools. If lighter tools aren't possible, consider additional methods for supporting the tools weight, such as hip belts or shoulder straps or stands.</t>
  </si>
  <si>
    <t xml:space="preserve">Review tasks which already require two or more workers for the purpose of lifting, pushing, pulling or carrying. Moving large, long or otherwise awkward objects to handle, like big tree branches or broken concrete blocks. </t>
  </si>
  <si>
    <t xml:space="preserve">Ensure two workers are always available/assigned to work where the procedure requires it. Train and educate workers on the requirement request assistance. </t>
  </si>
  <si>
    <t xml:space="preserve">When a workers body position requires joints, such as the neck or wrist, to be twisted, bent or rotated away from a neutral position muscles operate less efficiently and create additional stress which can lead to  injuries which normally would not occur. </t>
  </si>
  <si>
    <t xml:space="preserve">Identify which tasks require the worker to frequently and constantly twist their upper body to conduct their work. These could be unusual tasks or tasks that are completed in an area with limited space. </t>
  </si>
  <si>
    <t xml:space="preserve">Re-design the job or work area to allow for proper body posture when conducting the work. If the job/area cannot be re-designed introduce frequent micro breaks when performing the task. </t>
  </si>
  <si>
    <t>Identify the tasks require the worker to work near the ground (i.e. constant bending) or above the head (i.e. constant reaching). These could be ordinary jobs, such as stocking shelves, trimming trees or planting garden beds.</t>
  </si>
  <si>
    <t xml:space="preserve">Revise the work process to reduce or eliminate any bending, twisting, leaning or reaching. If the work process cannot be revised, try implementing the use of tools that can be comfortably used to avoid bending, twisting, leaning or reaching. </t>
  </si>
  <si>
    <t xml:space="preserve">Identify the tasks where workers are stretching their arms to reach objects, items or things. This could be reaching over railings or fencing, or in the cab of heavy equipment. </t>
  </si>
  <si>
    <t xml:space="preserve">Revise the work process to eliminate reaching for job tasks. Tasks that require reaching due to inadequate workspace design can be re designed, and job tasks can be changed or new tools provided. </t>
  </si>
  <si>
    <t xml:space="preserve">Identify and remove heavy tools, or the requirement to carry heavy objects (e.g. large tree stumps, concrete, etc.) while the arms are outstretched. Consider that many ordinary tasks may require the use of heavy tools, with outstretched arms stretched out. </t>
  </si>
  <si>
    <t xml:space="preserve">Provide mechanical aids, (e.g. dollies or carts) for the those tasks which arms are outstretched while supporting weights of greater than 10lbs. If the weight is from tools, reduce the weight of the tools being used, or provided micro breaks frequently if the tools cannot be changed. </t>
  </si>
  <si>
    <t xml:space="preserve">Identify tasks where the head is bent to an extreme, either up or down or side to side. This could be tasks where vision is obstructed or where the worker isn't at the same height as their interaction. </t>
  </si>
  <si>
    <t xml:space="preserve">Modify the job or work process to allow the workers head to be at the same level as the task being performed. If the work process cannot be modified add micro breaks into the workers schedule. </t>
  </si>
  <si>
    <t>Identify tasks where the wrist is bent either up, or down beyond what is  normally comfortable. Many ordinary tasks may require the wrist to be flexed or extended to reach awkward places, such as in a pipe or tight area.</t>
  </si>
  <si>
    <t xml:space="preserve">Modify the job or work process to remove or reduce extreme wrist postures (up or down). If that is not possible, provide angled tools, or other appropriate tools which allow a neutral wrist posture. </t>
  </si>
  <si>
    <t xml:space="preserve">Identify tasks where the wrist is bent side to side beyond what is normally comfortable. Many ordinary tasks may require the wrist to be bent at an extreme angle to either side, such as to reach awkward places. </t>
  </si>
  <si>
    <t xml:space="preserve">Modify the job or work process to remove or reduce extreme wrist postures (side to side). If that is not possible, provide angled tools, or other appropriate tools which allow a neutral wrist posture. </t>
  </si>
  <si>
    <t xml:space="preserve">When a worker performs similar motions using the same muscles with little or no variation, they are exposed to repetition.  They may also be exposed to common risks such as heavy lifting, or awkward postures and their body often cannot manage the added physical strain which can lead to an injury. </t>
  </si>
  <si>
    <t xml:space="preserve">Review tasks which require lifting, pushing, carrying or pulling. Of those tasks, identify which are done  for more than 5.5 hours without limited or no breaks. </t>
  </si>
  <si>
    <t>Introduce task variation to the job duties to reduce the amount of time one singular or similar body motion is performed. If task variation is not possible, introduce scheduled micro breaks to the task.</t>
  </si>
  <si>
    <t>Review tasks which expose the worker to vibration for more than 4 hours regularly. This could be tasks such as operating powered equipment or large machinery like tractors.</t>
  </si>
  <si>
    <t xml:space="preserve">Where possible eliminate or reduce the source of vibration to the worker. If it is not possible to eliminate or reduce vibration, introduce micro breaks to break up exposure times greater than 4 hours, allowing the worker to recover from the exposure. </t>
  </si>
  <si>
    <t>Risk categories for this report:</t>
  </si>
  <si>
    <t>Contact Stress Risk Identification Tables</t>
  </si>
  <si>
    <t>Part 2, Question 4</t>
  </si>
  <si>
    <t>How much total time do you lean or rest on sharp objects or edges?</t>
  </si>
  <si>
    <t>Sometimes</t>
  </si>
  <si>
    <t>Not at risk</t>
  </si>
  <si>
    <t>Acceptable</t>
  </si>
  <si>
    <t>4A</t>
  </si>
  <si>
    <t>OUTCOME</t>
  </si>
  <si>
    <t>Occasionally</t>
  </si>
  <si>
    <t>Possible risk</t>
  </si>
  <si>
    <t>Some Discomfort</t>
  </si>
  <si>
    <t>4B</t>
  </si>
  <si>
    <t>Occasional exposure with sharp edges/objects.</t>
  </si>
  <si>
    <t>Frequently</t>
  </si>
  <si>
    <t>Known Risk</t>
  </si>
  <si>
    <t>Pain and/or injury</t>
  </si>
  <si>
    <t>4C</t>
  </si>
  <si>
    <t>Frequent exposure with sharp edges/objects.</t>
  </si>
  <si>
    <t>Part 2, Question 5</t>
  </si>
  <si>
    <t>For how many hours of your shift do you kneel on a hard or rough surface without personal protection such as kneepads, soft mat?</t>
  </si>
  <si>
    <t>Doesn’t apply to me</t>
  </si>
  <si>
    <t>5A</t>
  </si>
  <si>
    <t>Less than 30 mins</t>
  </si>
  <si>
    <t>Low Risk</t>
  </si>
  <si>
    <t>Negligible</t>
  </si>
  <si>
    <t>5B</t>
  </si>
  <si>
    <t>30 minutes - one hour</t>
  </si>
  <si>
    <t>Possible Risk</t>
  </si>
  <si>
    <t>5C</t>
  </si>
  <si>
    <t>Occasional kneeling on hard/rough surfaces.</t>
  </si>
  <si>
    <t>More than one hour</t>
  </si>
  <si>
    <t>Discomfort and Possible Pain</t>
  </si>
  <si>
    <t>5D</t>
  </si>
  <si>
    <t>Prolonged kneeling on hard/rough surfaces.</t>
  </si>
  <si>
    <t>Part 2, Question 6</t>
  </si>
  <si>
    <t xml:space="preserve">When you use tools and/or objects for more than 30 minutes at a time, which of these statements apply. </t>
  </si>
  <si>
    <t>None of the above</t>
  </si>
  <si>
    <t>6E</t>
  </si>
  <si>
    <t xml:space="preserve">Too large/small to grip  </t>
  </si>
  <si>
    <t>Likely Risk</t>
  </si>
  <si>
    <t>6A</t>
  </si>
  <si>
    <t xml:space="preserve">Tools/objects can be hard grip/hold creating discomfort. </t>
  </si>
  <si>
    <t>Slippery</t>
  </si>
  <si>
    <t>6B</t>
  </si>
  <si>
    <t xml:space="preserve">Discomfort reported while using tools/objects. </t>
  </si>
  <si>
    <t xml:space="preserve">Irregular shape/unbalanced </t>
  </si>
  <si>
    <t>6C</t>
  </si>
  <si>
    <t>Irregular tool/object shape can create discomfort.</t>
  </si>
  <si>
    <t>Unsuitable hand hold</t>
  </si>
  <si>
    <t>6D</t>
  </si>
  <si>
    <t>Unsuitable handholds on tools/objects can create discomfort.</t>
  </si>
  <si>
    <t>Part 2, Question 7</t>
  </si>
  <si>
    <t>Do you repetitively use any body part as a make shift tool (e.g. using your palm or knee to apply force)?</t>
  </si>
  <si>
    <t>7A</t>
  </si>
  <si>
    <t>Yes, less than 1 hour</t>
  </si>
  <si>
    <t>7B</t>
  </si>
  <si>
    <t>Body parts occassionally used as a make-shift tool.</t>
  </si>
  <si>
    <t>Yes, more than 1 hour</t>
  </si>
  <si>
    <t>Pain and/or Injury</t>
  </si>
  <si>
    <t>7C</t>
  </si>
  <si>
    <t>Body parts frequently used as a make-shift tool.</t>
  </si>
  <si>
    <t>OMR IS:</t>
  </si>
  <si>
    <t>Contact Stress Risk Priority Statements</t>
  </si>
  <si>
    <t>Score</t>
  </si>
  <si>
    <t>Apply Statement</t>
  </si>
  <si>
    <t>Currently low risk associated with contact stress.</t>
  </si>
  <si>
    <t>Possible risk of discomfort from contact stress.</t>
  </si>
  <si>
    <t xml:space="preserve">Likely risk of discomfort from contact stress. </t>
  </si>
  <si>
    <t>Known risk of pain and/or injury.</t>
  </si>
  <si>
    <t xml:space="preserve">Determine which edge(s) in the workplace are creating this problem and implement a solution. </t>
  </si>
  <si>
    <t xml:space="preserve">Determine which edge(s) in the workplace are creating this problem and identify interventions to eliminate discomfort and/or injury. </t>
  </si>
  <si>
    <t xml:space="preserve"> Provide personal protection, or identify interventions to eliminate or minimize discomfort. </t>
  </si>
  <si>
    <t xml:space="preserve"> Provide personal protection, or identify interventions to eliminate pain and discomfort. </t>
  </si>
  <si>
    <t xml:space="preserve">Examine tools/objects in the workplace to determine which of them create contact stress for the worker. </t>
  </si>
  <si>
    <t xml:space="preserve">Reduce the use of the tool/object and determine an appropriate substitute. </t>
  </si>
  <si>
    <t xml:space="preserve">Determine which tool(s) the worker requires to eliminate the use of their body parts. </t>
  </si>
  <si>
    <t xml:space="preserve">Identify a suitable tool for performing the job function. </t>
  </si>
  <si>
    <t xml:space="preserve">Determine the frequency this occurs and consider changes If possible. </t>
  </si>
  <si>
    <t xml:space="preserve">Determine if mechanical assistance is appropriate, or if administrative are required. </t>
  </si>
  <si>
    <t>Determine if the tool weight can be reduced or substituted and consider changes if possible.</t>
  </si>
  <si>
    <t xml:space="preserve">Determine if the weight of the tool can be reduced, or the tool can be substituted. </t>
  </si>
  <si>
    <t xml:space="preserve">Review the procedure and ensure resources are available where required. </t>
  </si>
  <si>
    <t xml:space="preserve">Ensure that the required resources are available and employees are trained and educated on the procedure. </t>
  </si>
  <si>
    <t>Evaluate adjusting the workstation and/or tools used by the employee.</t>
  </si>
  <si>
    <t xml:space="preserve">Consider modifying the work station or job task to encourage a body neutral position. </t>
  </si>
  <si>
    <t xml:space="preserve">Evaluate modifying the work station or job task to encourage a body neutral position. </t>
  </si>
  <si>
    <t>Evaluate reducing the weight or changing the job task.</t>
  </si>
  <si>
    <t>Consider changing the workstation/job design.</t>
  </si>
  <si>
    <t>Overall Musculoskeletal Rating</t>
  </si>
  <si>
    <t>Contact Stress Report</t>
  </si>
  <si>
    <t>(OMR)</t>
  </si>
  <si>
    <t>Immediate Actions</t>
  </si>
  <si>
    <t>Actions</t>
  </si>
  <si>
    <t>Evaluation</t>
  </si>
  <si>
    <t>Force Identification Tables</t>
  </si>
  <si>
    <t>Part 3, Question 8</t>
  </si>
  <si>
    <t>Select the type of surfaces you are required to push/pull or maneuver objects on during your work activities.</t>
  </si>
  <si>
    <t>8A</t>
  </si>
  <si>
    <t>Soft (Sand, Mud, Grass)</t>
  </si>
  <si>
    <t>Possible Discomfort</t>
  </si>
  <si>
    <t>8B</t>
  </si>
  <si>
    <t>Pushing/pulling objects on soft/rough surfaces.</t>
  </si>
  <si>
    <t>Rough (Gravel, Tile, Uneven)</t>
  </si>
  <si>
    <t>8C</t>
  </si>
  <si>
    <t>Part 3, Question 9</t>
  </si>
  <si>
    <r>
      <rPr>
        <rFont val="Calibri"/>
        <color theme="1"/>
        <sz val="11.0"/>
      </rPr>
      <t xml:space="preserve">Are you required to regularly push, pull or move heavy objects </t>
    </r>
    <r>
      <rPr>
        <rFont val="Calibri"/>
        <b/>
        <color theme="1"/>
        <sz val="11.0"/>
      </rPr>
      <t>without using</t>
    </r>
    <r>
      <rPr>
        <rFont val="Calibri"/>
        <color theme="1"/>
        <sz val="11.0"/>
      </rPr>
      <t xml:space="preserve"> a mechanical aid (e.g. wheelbarrow, dolly)?</t>
    </r>
  </si>
  <si>
    <t>No</t>
  </si>
  <si>
    <t>Low risk</t>
  </si>
  <si>
    <t>9A</t>
  </si>
  <si>
    <t>Yes</t>
  </si>
  <si>
    <t>9B</t>
  </si>
  <si>
    <t>Pushing/pulling heavy objects without the use of appropriate mechanical assistance(s).</t>
  </si>
  <si>
    <t>Part 3, Question 10</t>
  </si>
  <si>
    <t>During your work activities, what is the average weight of tools or objects you pick up, carry or support?</t>
  </si>
  <si>
    <t xml:space="preserve">Doesn’t apply to me </t>
  </si>
  <si>
    <t>10A</t>
  </si>
  <si>
    <t>Light (Less than 5lbs)</t>
  </si>
  <si>
    <t>10B</t>
  </si>
  <si>
    <t xml:space="preserve">Moderate (5-18lbs)                          </t>
  </si>
  <si>
    <t>10C</t>
  </si>
  <si>
    <t>Possible discomfort from lifting, carrying and/or supporting tools that weigh 5-18lbs.</t>
  </si>
  <si>
    <t>Heavy (More than 18lbs)</t>
  </si>
  <si>
    <t>10D</t>
  </si>
  <si>
    <t>Discomfort and possible pain from lifting, carrying and/or supporting tools that weigh +18lbs.</t>
  </si>
  <si>
    <t>Part 3, Question 11</t>
  </si>
  <si>
    <t xml:space="preserve">Is it hard to start tools or equipment and/or does it require a maintained forceful exertion to use (e.g. pulling on a cord or depressing a peddle)? </t>
  </si>
  <si>
    <t>Doesn't Apply to Me</t>
  </si>
  <si>
    <t>11A</t>
  </si>
  <si>
    <t>11B</t>
  </si>
  <si>
    <t xml:space="preserve">Equipment sometimes requires a forceful exertion to start. </t>
  </si>
  <si>
    <t>11C</t>
  </si>
  <si>
    <t xml:space="preserve">Equipment frequently requires a forceful exertion to start. </t>
  </si>
  <si>
    <t>Part 3, Question 12</t>
  </si>
  <si>
    <t>When pushing/pulling objects for which the standard operating procedure requires more than one person or a mechanical assistance, do you get the assistance required?</t>
  </si>
  <si>
    <t>12A</t>
  </si>
  <si>
    <t>12B</t>
  </si>
  <si>
    <t>12C</t>
  </si>
  <si>
    <t>Occasionally assistance from a second person/mechanical device is not used.</t>
  </si>
  <si>
    <t>12D</t>
  </si>
  <si>
    <t>Assistance from a second person/mechanical device is not used.</t>
  </si>
  <si>
    <t>Currently low risk associated with force.</t>
  </si>
  <si>
    <t>Possible risk of discomfort from force.</t>
  </si>
  <si>
    <t>Likely risk of discomfort from force.</t>
  </si>
  <si>
    <t>Force Report</t>
  </si>
  <si>
    <t xml:space="preserve"> Overall Musculoskeletal Risk:
 Force</t>
  </si>
  <si>
    <t>\</t>
  </si>
  <si>
    <t>Awkward Posture Risk Identification Tables</t>
  </si>
  <si>
    <t>Part 4, Question 13</t>
  </si>
  <si>
    <t>During your work activities, which of these vertical upper body postures apply? Select all that apply.</t>
  </si>
  <si>
    <t xml:space="preserve">Neutral </t>
  </si>
  <si>
    <t>13A</t>
  </si>
  <si>
    <t>Leaning Forward/Backward (15°)</t>
  </si>
  <si>
    <t>13B</t>
  </si>
  <si>
    <r>
      <rPr>
        <rFont val="Calibri"/>
        <color theme="1"/>
        <sz val="11.0"/>
      </rPr>
      <t xml:space="preserve">Possible discomfort from leaning forward or backward </t>
    </r>
    <r>
      <rPr>
        <rFont val="Calibri"/>
        <b/>
        <color theme="1"/>
        <sz val="11.0"/>
      </rPr>
      <t>up to 15 degrees</t>
    </r>
    <r>
      <rPr>
        <rFont val="Calibri"/>
        <color theme="1"/>
        <sz val="11.0"/>
      </rPr>
      <t xml:space="preserve">. </t>
    </r>
  </si>
  <si>
    <t xml:space="preserve">Leaning Forward/Backward (Greater than 15°)  </t>
  </si>
  <si>
    <t>Likely Discomfort</t>
  </si>
  <si>
    <t>13C</t>
  </si>
  <si>
    <r>
      <rPr>
        <rFont val="Calibri"/>
        <color theme="1"/>
        <sz val="11.0"/>
      </rPr>
      <t xml:space="preserve">Likely discomfort from leaning forward or backwards </t>
    </r>
    <r>
      <rPr>
        <rFont val="Calibri"/>
        <b/>
        <color theme="1"/>
        <sz val="11.0"/>
      </rPr>
      <t>greater than 15 degrees</t>
    </r>
    <r>
      <rPr>
        <rFont val="Calibri"/>
        <color theme="1"/>
        <sz val="11.0"/>
      </rPr>
      <t xml:space="preserve">. </t>
    </r>
  </si>
  <si>
    <t>Leaning Sideways</t>
  </si>
  <si>
    <t>13D</t>
  </si>
  <si>
    <r>
      <rPr>
        <rFont val="Calibri"/>
        <color theme="1"/>
        <sz val="11.0"/>
      </rPr>
      <t xml:space="preserve">Likely discomfort from </t>
    </r>
    <r>
      <rPr>
        <rFont val="Calibri"/>
        <b/>
        <color theme="1"/>
        <sz val="11.0"/>
      </rPr>
      <t>leaning sideways</t>
    </r>
    <r>
      <rPr>
        <rFont val="Calibri"/>
        <color theme="1"/>
        <sz val="11.0"/>
      </rPr>
      <t xml:space="preserve">. </t>
    </r>
  </si>
  <si>
    <t>Part 4, Question 14</t>
  </si>
  <si>
    <t>When in those postures selected above, do you twist your upper body to either side without changing the position of your feet while sitting or standing?</t>
  </si>
  <si>
    <t>14A</t>
  </si>
  <si>
    <t>14B</t>
  </si>
  <si>
    <t xml:space="preserve">Possible discomfort from twisting the upper body. </t>
  </si>
  <si>
    <t xml:space="preserve">Pain and/or Injury </t>
  </si>
  <si>
    <t>14C</t>
  </si>
  <si>
    <t>Continuous twisting of the upper body.</t>
  </si>
  <si>
    <t>Part 4, Question 15</t>
  </si>
  <si>
    <t>Which of these work zones are your hands in when you perform your work activities? Select all that apply.</t>
  </si>
  <si>
    <t>Floor to ankle and/or Above the head</t>
  </si>
  <si>
    <t>15A</t>
  </si>
  <si>
    <t>Poor body posture from working at/near ground level or above the head.</t>
  </si>
  <si>
    <t>Calf to mid-thigh and/or Shoulder to head (Occasionally)</t>
  </si>
  <si>
    <t>15B</t>
  </si>
  <si>
    <t>Occasional poor body posture from working near knee level or above the shoulder.</t>
  </si>
  <si>
    <t>Calf to mid-thigh and/or Shoulder to head (Prolonged)</t>
  </si>
  <si>
    <t>15C</t>
  </si>
  <si>
    <t xml:space="preserve">Prolonged poor body posture from working near knee level or above the shoulder. </t>
  </si>
  <si>
    <t>Waist level</t>
  </si>
  <si>
    <t>Not at Risk</t>
  </si>
  <si>
    <t>15D</t>
  </si>
  <si>
    <t>Part 4, Question 16</t>
  </si>
  <si>
    <t xml:space="preserve">What is the distance of your hands from your body when seated or standing? </t>
  </si>
  <si>
    <t xml:space="preserve">Occasionally Outstretched </t>
  </si>
  <si>
    <t>16A</t>
  </si>
  <si>
    <t xml:space="preserve">Possible discomfort from arms occasionally being outstretched. </t>
  </si>
  <si>
    <t>Frequently Outstretched</t>
  </si>
  <si>
    <t>16B</t>
  </si>
  <si>
    <t xml:space="preserve">Likely discomfort from arms frequently being outstretched. </t>
  </si>
  <si>
    <t>Neither</t>
  </si>
  <si>
    <t>16C</t>
  </si>
  <si>
    <t>Part 4, Question 17</t>
  </si>
  <si>
    <t>IF THE ABOVE IS OCCASIONALLY, are you also holding a hand tool or moving an object?</t>
  </si>
  <si>
    <t>17A</t>
  </si>
  <si>
    <t>Yes, less than 5lbs</t>
  </si>
  <si>
    <t>17B</t>
  </si>
  <si>
    <t>Yes, 5 - 10lbs</t>
  </si>
  <si>
    <t>17C</t>
  </si>
  <si>
    <t xml:space="preserve">Possible discomfort from supporting 5-10lbs of weight while arms occasionally outstretched. </t>
  </si>
  <si>
    <t>Yes, more than 10lbs</t>
  </si>
  <si>
    <t>17D</t>
  </si>
  <si>
    <t>Likely discomfort from supporting more than 10lbs of weight while arms occasionally outstretched.</t>
  </si>
  <si>
    <t>IF THE ABOVE IS FREQUENTLY, are you also holding a hand tool or moving an object?</t>
  </si>
  <si>
    <t xml:space="preserve">Possible disomcomfort from supporting a weight up to 5lbs while arms frequently outstretched. </t>
  </si>
  <si>
    <t>Discomfort from supporting a weight between 5-10lbs while arms frequently outstretched.</t>
  </si>
  <si>
    <t xml:space="preserve">Known risk from supporting more than 10lbs while arms frequently outstretched. </t>
  </si>
  <si>
    <t>Part 4, Question 18</t>
  </si>
  <si>
    <t>During your work activities, is your head in any of the below positions more than occasionally? Select all that apply.</t>
  </si>
  <si>
    <t xml:space="preserve">Neutral   </t>
  </si>
  <si>
    <t>18A</t>
  </si>
  <si>
    <t>Head pointed up/down less than 15</t>
  </si>
  <si>
    <t>18B</t>
  </si>
  <si>
    <t>Head position is not maintained in a neutral position.</t>
  </si>
  <si>
    <t>Head pointed up/down or to the side more than 15</t>
  </si>
  <si>
    <t>18C</t>
  </si>
  <si>
    <t>Poor head position from looking up/down or to the side.</t>
  </si>
  <si>
    <t>Part 4, Question 19</t>
  </si>
  <si>
    <t>During your work activities, what is your most frequent range of motion for your wrist (up/down)?</t>
  </si>
  <si>
    <t xml:space="preserve">0 to +/-10°       </t>
  </si>
  <si>
    <t>19A</t>
  </si>
  <si>
    <t xml:space="preserve">10° to 30°       </t>
  </si>
  <si>
    <t>19B</t>
  </si>
  <si>
    <t xml:space="preserve">Wrist posture (up/down) at the limit of the recommended range of motion. </t>
  </si>
  <si>
    <t>30°+</t>
  </si>
  <si>
    <t>19C</t>
  </si>
  <si>
    <t xml:space="preserve"> </t>
  </si>
  <si>
    <t xml:space="preserve">Part 4, Question 20 </t>
  </si>
  <si>
    <t>During your work activities, what is your most frequent range of motion for your wrist (side to side)?</t>
  </si>
  <si>
    <t>20A</t>
  </si>
  <si>
    <t xml:space="preserve">10° to 20°              </t>
  </si>
  <si>
    <t>20B</t>
  </si>
  <si>
    <t xml:space="preserve">Wrist posture (side to side) at the limit of the recommended range of motion. </t>
  </si>
  <si>
    <t>20°+</t>
  </si>
  <si>
    <t>20C</t>
  </si>
  <si>
    <t>Known risk from extreme wrist posture (side to side).</t>
  </si>
  <si>
    <t>Part 4, Question 21</t>
  </si>
  <si>
    <t>Do your work activities allow you to keep all objects close to your body when you handle, push, pull, lift, etc.?</t>
  </si>
  <si>
    <t>21A</t>
  </si>
  <si>
    <t>21B</t>
  </si>
  <si>
    <t xml:space="preserve">Possible discomfort from objects sometimes being handled away from the body. </t>
  </si>
  <si>
    <t>21C</t>
  </si>
  <si>
    <t>Likely discomfort from objects being handled away from the body.</t>
  </si>
  <si>
    <t>Currently low risk associated with awkward posture.</t>
  </si>
  <si>
    <t>Possible risk of discomfort from awkward posture.</t>
  </si>
  <si>
    <t>Likely risk of discomfort from awkward posture.</t>
  </si>
  <si>
    <t xml:space="preserve"> Overall Musculoskeletal Risk:
 Awkward Posture</t>
  </si>
  <si>
    <t>Repetition Risk Identification Tables</t>
  </si>
  <si>
    <t>Part 5, Question 22</t>
  </si>
  <si>
    <t>How much total time do you spend doing repetitive movements during your work activities?</t>
  </si>
  <si>
    <t>22A</t>
  </si>
  <si>
    <t>0-2 Hours</t>
  </si>
  <si>
    <t>22B</t>
  </si>
  <si>
    <t>2-4 Hours</t>
  </si>
  <si>
    <t>22C</t>
  </si>
  <si>
    <t>Repetitive movements up to 4 hours.</t>
  </si>
  <si>
    <t>4+ Hours</t>
  </si>
  <si>
    <t>22D</t>
  </si>
  <si>
    <t>Repetitive movements more than 4 hours.</t>
  </si>
  <si>
    <t>Part 5, Question 23</t>
  </si>
  <si>
    <t>What is the total time you move your wrist up and down more than 15 degrees?</t>
  </si>
  <si>
    <t>Not Risk</t>
  </si>
  <si>
    <t>23A</t>
  </si>
  <si>
    <t>0-1 hour</t>
  </si>
  <si>
    <t>23B</t>
  </si>
  <si>
    <t xml:space="preserve">1-2 hours     </t>
  </si>
  <si>
    <t>23C</t>
  </si>
  <si>
    <t xml:space="preserve">Repetitive up and down movements of the wrist up to 2 hours. </t>
  </si>
  <si>
    <t>2+ hours</t>
  </si>
  <si>
    <t>23D</t>
  </si>
  <si>
    <t>Repetitive up and down movements of the wrist more than 2 hours.</t>
  </si>
  <si>
    <t>Part 5, Question 24</t>
  </si>
  <si>
    <t>What is the total time you move your wrist side to side more than 15 degrees?</t>
  </si>
  <si>
    <t>24A</t>
  </si>
  <si>
    <t>24B</t>
  </si>
  <si>
    <t>24C</t>
  </si>
  <si>
    <t xml:space="preserve">Repetitive side to side movements of the wrist up to 2 hours. </t>
  </si>
  <si>
    <t>24D</t>
  </si>
  <si>
    <t>Repetitive side to side movements of the wrist more than 2 hours.</t>
  </si>
  <si>
    <t>Part 5, Question 25</t>
  </si>
  <si>
    <t>When you are handling tools, how often do you exert muscular force?</t>
  </si>
  <si>
    <t xml:space="preserve">Rarely (0-5 minutes) </t>
  </si>
  <si>
    <t>25A</t>
  </si>
  <si>
    <t>Seldom (5-25 minutes)</t>
  </si>
  <si>
    <t>25B</t>
  </si>
  <si>
    <t>Occasionally (30 minutes – 2 ½ hours)</t>
  </si>
  <si>
    <t>25C</t>
  </si>
  <si>
    <t>Repetitive exertion of muscular force when using tools up to 2.5 hours.</t>
  </si>
  <si>
    <t>Frequently (2 ½ hours – 5 ½ hours)</t>
  </si>
  <si>
    <t>25D</t>
  </si>
  <si>
    <t>Repetitive exertion of muscular force when using tools up to 5.5 hours.</t>
  </si>
  <si>
    <t>Constantly (More than 5 ½ hours)</t>
  </si>
  <si>
    <t>Discomfort or Possible Pain</t>
  </si>
  <si>
    <t>25E</t>
  </si>
  <si>
    <t>Repetitive exertion of muscular force when using tools more than 5.5 hours.</t>
  </si>
  <si>
    <t>Part 5, Question 26</t>
  </si>
  <si>
    <t xml:space="preserve">Do you perform a pinch grip on a tool/object more than 2 lbs? </t>
  </si>
  <si>
    <t>Doesn’t Apply to me</t>
  </si>
  <si>
    <t>26A</t>
  </si>
  <si>
    <t>26B</t>
  </si>
  <si>
    <r>
      <rPr>
        <rFont val="Calibri"/>
        <color theme="1"/>
        <sz val="11.0"/>
      </rPr>
      <t xml:space="preserve">Repetitive use of a </t>
    </r>
    <r>
      <rPr>
        <rFont val="Calibri"/>
        <b/>
        <color theme="1"/>
        <sz val="11.0"/>
      </rPr>
      <t>pinch grip</t>
    </r>
    <r>
      <rPr>
        <rFont val="Calibri"/>
        <color theme="1"/>
        <sz val="11.0"/>
      </rPr>
      <t xml:space="preserve"> when using a tool for up to 2 hours.</t>
    </r>
  </si>
  <si>
    <t>2+ Hours</t>
  </si>
  <si>
    <t>26C</t>
  </si>
  <si>
    <r>
      <rPr>
        <rFont val="Calibri"/>
        <color theme="1"/>
        <sz val="11.0"/>
      </rPr>
      <t xml:space="preserve">Repetitive use of a </t>
    </r>
    <r>
      <rPr>
        <rFont val="Calibri"/>
        <b/>
        <color theme="1"/>
        <sz val="11.0"/>
      </rPr>
      <t>pinch grip</t>
    </r>
    <r>
      <rPr>
        <rFont val="Calibri"/>
        <color theme="1"/>
        <sz val="11.0"/>
      </rPr>
      <t xml:space="preserve"> when using a tool for more than 2 hours.</t>
    </r>
  </si>
  <si>
    <t>Part 5, Question 27</t>
  </si>
  <si>
    <t xml:space="preserve">Do you perform a power grip on a tool/object more than 10 lbs? </t>
  </si>
  <si>
    <t>27A</t>
  </si>
  <si>
    <t>27B</t>
  </si>
  <si>
    <r>
      <rPr>
        <rFont val="Calibri"/>
        <color theme="1"/>
        <sz val="11.0"/>
      </rPr>
      <t xml:space="preserve">Repetitive use of a </t>
    </r>
    <r>
      <rPr>
        <rFont val="Calibri"/>
        <b/>
        <color theme="1"/>
        <sz val="11.0"/>
      </rPr>
      <t>power grip</t>
    </r>
    <r>
      <rPr>
        <rFont val="Calibri"/>
        <color theme="1"/>
        <sz val="11.0"/>
      </rPr>
      <t xml:space="preserve"> when using a tool for up to 2 hours.</t>
    </r>
  </si>
  <si>
    <t>27C</t>
  </si>
  <si>
    <r>
      <rPr>
        <rFont val="Calibri"/>
        <color theme="1"/>
        <sz val="11.0"/>
      </rPr>
      <t>Repetitive use of a</t>
    </r>
    <r>
      <rPr>
        <rFont val="Calibri"/>
        <b/>
        <color theme="1"/>
        <sz val="11.0"/>
      </rPr>
      <t xml:space="preserve"> power grip</t>
    </r>
    <r>
      <rPr>
        <rFont val="Calibri"/>
        <color theme="1"/>
        <sz val="11.0"/>
      </rPr>
      <t xml:space="preserve"> when using a tool for more than 2 hours.</t>
    </r>
  </si>
  <si>
    <t>Part 5, Question 28</t>
  </si>
  <si>
    <t xml:space="preserve">Do you experience vibration when you are using tools/objects or whole body vibration when operating equipment in the workplace on a regular basis? </t>
  </si>
  <si>
    <t>28A</t>
  </si>
  <si>
    <t>28B</t>
  </si>
  <si>
    <t>Exposed to vibration for up to 1 hour on a regular basis.</t>
  </si>
  <si>
    <t>Yes, 1 – 4 hours</t>
  </si>
  <si>
    <t>28C</t>
  </si>
  <si>
    <t>Exposed to vibration for up to 4 hours on a regular basis.</t>
  </si>
  <si>
    <t>Yes, more than 4 hours</t>
  </si>
  <si>
    <t>28D</t>
  </si>
  <si>
    <t>Exposed to vibration for more than 4 hours on a regular basis.</t>
  </si>
  <si>
    <t>Part 5, Question 29</t>
  </si>
  <si>
    <t xml:space="preserve">Think of items/equipment/objects you push/pull/carry in the workplace that are heavy. For how long do you push or pull with a force of more than 80lbs OR carry items that weigh more than 80lbs over rough (gravel, tile, uneven) or soft (sand, mud, grass) surfaces on a regular basis? </t>
  </si>
  <si>
    <t>29A</t>
  </si>
  <si>
    <t>5 minutes or less</t>
  </si>
  <si>
    <t>29B</t>
  </si>
  <si>
    <t xml:space="preserve">5 minutes to 1 hour                       </t>
  </si>
  <si>
    <t>29C</t>
  </si>
  <si>
    <t>Exposed to a force of more than 80lbs while pushing, pulling or carrying over soft or rough surfaces for up to 1 hour.</t>
  </si>
  <si>
    <t>More than 1 hour</t>
  </si>
  <si>
    <t>29D</t>
  </si>
  <si>
    <t>Exposed to a force of more than 80lbs while pushing, pulling or carrying over soft or rough surfaces for more than 1 hour.</t>
  </si>
  <si>
    <t>Currently low risk associated with repetition.</t>
  </si>
  <si>
    <t>Possible risk of discomfort from repetition.</t>
  </si>
  <si>
    <t>Likely risk of discomfort from repetition.</t>
  </si>
  <si>
    <t>Part 6, Question 30</t>
  </si>
  <si>
    <t>Considering your background/external environment, are you distracted by noise (e.g. sirens, loud voices, traffic)?</t>
  </si>
  <si>
    <t>30A</t>
  </si>
  <si>
    <t>Yes, Somewhat</t>
  </si>
  <si>
    <t>30B</t>
  </si>
  <si>
    <t>Unexpected or background noise can distract workers and create additional stress.</t>
  </si>
  <si>
    <t>Yes, A Lot</t>
  </si>
  <si>
    <t>Discomfort and Possible Risk</t>
  </si>
  <si>
    <t>30C</t>
  </si>
  <si>
    <t>Constant background or loud noise can distract workers and create additional stress.</t>
  </si>
  <si>
    <t>Part 6, Question 31</t>
  </si>
  <si>
    <t>Considering your work activities, are you affected by glare (e.g. sun in the eyes, sun bouncing of an object into your eyes)?</t>
  </si>
  <si>
    <t>31A</t>
  </si>
  <si>
    <t>31B</t>
  </si>
  <si>
    <t xml:space="preserve">Exposed to glare on an irregular basis. </t>
  </si>
  <si>
    <t>31C</t>
  </si>
  <si>
    <t xml:space="preserve">Constantly exposed to glare. </t>
  </si>
  <si>
    <t>Part 6, Question 32</t>
  </si>
  <si>
    <t>Considering your work activities are you able to easily see fine details if it is required for you to perform your job?</t>
  </si>
  <si>
    <t>32A</t>
  </si>
  <si>
    <t>32B</t>
  </si>
  <si>
    <t>Viewing fine details creates visual fatigue.</t>
  </si>
  <si>
    <t>Part 6, Question 33</t>
  </si>
  <si>
    <t>If you are working in a cool/cold environment, do you feel discomfort in your extremities and/or back?</t>
  </si>
  <si>
    <t>33A</t>
  </si>
  <si>
    <t>33B</t>
  </si>
  <si>
    <t>Exposure to cool/cold environments creates discomfort.</t>
  </si>
  <si>
    <t>Currently low risk associated with environmental factors.</t>
  </si>
  <si>
    <t>Possible risk of discomfort from environmental factors.</t>
  </si>
  <si>
    <t>Likely risk of discomfort from environmental factors.</t>
  </si>
  <si>
    <t>EXAMPLE FORMATTING</t>
  </si>
  <si>
    <t xml:space="preserve">Contact Stress Score </t>
  </si>
  <si>
    <t xml:space="preserve">Identified Hazards </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</si>
</sst>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27">
    <font>
      <sz val="11.0"/>
      <color theme="1"/>
      <name val="Calibri"/>
      <scheme val="minor"/>
    </font>
    <font>
      <b/>
      <sz val="15.0"/>
      <color rgb="FF0082C8"/>
      <name val="Calibri"/>
    </font>
    <font>
      <b/>
      <sz val="12.0"/>
      <color theme="1"/>
      <name val="Century Gothic"/>
    </font>
    <font>
      <b/>
      <sz val="15.0"/>
      <color theme="1"/>
      <name val="Calibri"/>
    </font>
    <font>
      <b/>
      <sz val="11.0"/>
      <color theme="1"/>
      <name val="Calibri"/>
    </font>
    <font>
      <sz val="11.0"/>
      <color theme="1"/>
      <name val="Arial"/>
    </font>
    <font>
      <sz val="11.0"/>
      <color theme="1"/>
      <name val="Calibri"/>
    </font>
    <font/>
    <font>
      <sz val="10.0"/>
      <color theme="1"/>
      <name val="Arial"/>
    </font>
    <font>
      <b/>
      <sz val="11.0"/>
      <color theme="0"/>
      <name val="Arial"/>
    </font>
    <font>
      <b/>
      <sz val="11.0"/>
      <color theme="1"/>
      <name val="Arial"/>
    </font>
    <font>
      <b/>
      <sz val="18.0"/>
      <color theme="1"/>
      <name val="Calibri"/>
    </font>
    <font>
      <b/>
      <sz val="48.0"/>
      <color theme="1"/>
      <name val="Calibri"/>
    </font>
    <font>
      <b/>
      <sz val="26.0"/>
      <color theme="1"/>
      <name val="Arial"/>
    </font>
    <font>
      <sz val="14.0"/>
      <color theme="1"/>
      <name val="Arial"/>
    </font>
    <font>
      <i/>
      <sz val="10.0"/>
      <color theme="1"/>
      <name val="Arial"/>
    </font>
    <font>
      <i/>
      <sz val="9.0"/>
      <color theme="1"/>
      <name val="Calibri"/>
    </font>
    <font>
      <color theme="1"/>
      <name val="Calibri"/>
      <scheme val="minor"/>
    </font>
    <font>
      <b/>
      <sz val="48.0"/>
      <color theme="1"/>
      <name val="Arial"/>
    </font>
    <font>
      <sz val="22.0"/>
      <color theme="0"/>
      <name val="Calibri"/>
    </font>
    <font>
      <sz val="22.0"/>
      <color theme="1"/>
      <name val="Calibri"/>
    </font>
    <font>
      <b/>
      <sz val="18.0"/>
      <color theme="0"/>
      <name val="Corbel"/>
    </font>
    <font>
      <b/>
      <sz val="22.0"/>
      <color theme="1"/>
      <name val="Calibri"/>
    </font>
    <font>
      <b/>
      <sz val="12.0"/>
      <color theme="1"/>
      <name val="Calibri"/>
    </font>
    <font>
      <b/>
      <sz val="11.0"/>
      <color theme="1"/>
      <name val="Century Gothic"/>
    </font>
    <font>
      <b/>
      <sz val="10.0"/>
      <color theme="0"/>
      <name val="Arial"/>
    </font>
    <font>
      <b/>
      <sz val="10.0"/>
      <color theme="1"/>
      <name val="Arial"/>
    </font>
  </fonts>
  <fills count="12">
    <fill>
      <patternFill patternType="none"/>
    </fill>
    <fill>
      <patternFill patternType="lightGray"/>
    </fill>
    <fill>
      <patternFill patternType="solid">
        <fgColor rgb="FFF2F2F2"/>
        <bgColor rgb="FFF2F2F2"/>
      </patternFill>
    </fill>
    <fill>
      <patternFill patternType="solid">
        <fgColor rgb="FF0075C9"/>
        <bgColor rgb="FF0075C9"/>
      </patternFill>
    </fill>
    <fill>
      <patternFill patternType="solid">
        <fgColor rgb="FFF44242"/>
        <bgColor rgb="FFF44242"/>
      </patternFill>
    </fill>
    <fill>
      <patternFill patternType="solid">
        <fgColor rgb="FFF4B084"/>
        <bgColor rgb="FFF4B084"/>
      </patternFill>
    </fill>
    <fill>
      <patternFill patternType="solid">
        <fgColor rgb="FFFFE999"/>
        <bgColor rgb="FFFFE999"/>
      </patternFill>
    </fill>
    <fill>
      <patternFill patternType="solid">
        <fgColor rgb="FFA9D08E"/>
        <bgColor rgb="FFA9D08E"/>
      </patternFill>
    </fill>
    <fill>
      <patternFill patternType="solid">
        <fgColor rgb="FFFFE699"/>
        <bgColor rgb="FFFFE699"/>
      </patternFill>
    </fill>
    <fill>
      <patternFill patternType="solid">
        <fgColor rgb="FFF04242"/>
        <bgColor rgb="FFF04242"/>
      </patternFill>
    </fill>
    <fill>
      <patternFill patternType="solid">
        <fgColor rgb="FFA8D08E"/>
        <bgColor rgb="FFA8D08E"/>
      </patternFill>
    </fill>
    <fill>
      <patternFill patternType="solid">
        <fgColor rgb="FF0082C8"/>
        <bgColor rgb="FF0082C8"/>
      </patternFill>
    </fill>
  </fills>
  <borders count="63">
    <border/>
    <border>
      <left/>
      <top/>
      <bottom style="thin">
        <color theme="0"/>
      </bottom>
    </border>
    <border>
      <top/>
      <bottom style="thin">
        <color theme="0"/>
      </bottom>
    </border>
    <border>
      <right/>
      <top/>
      <bottom style="thin">
        <color theme="0"/>
      </bottom>
    </border>
    <border>
      <left/>
      <top/>
      <bottom/>
    </border>
    <border>
      <top/>
      <bottom/>
    </border>
    <border>
      <right/>
      <top/>
      <bottom/>
    </border>
    <border>
      <bottom style="thin">
        <color theme="0"/>
      </bottom>
    </border>
    <border>
      <right style="medium">
        <color theme="0"/>
      </right>
      <top/>
      <bottom/>
    </border>
    <border>
      <left style="medium">
        <color theme="0"/>
      </left>
      <top/>
      <bottom/>
    </border>
    <border>
      <left/>
      <top/>
      <bottom style="medium">
        <color theme="0"/>
      </bottom>
    </border>
    <border>
      <right style="medium">
        <color theme="0"/>
      </right>
      <top/>
      <bottom style="medium">
        <color theme="0"/>
      </bottom>
    </border>
    <border>
      <left style="medium">
        <color theme="0"/>
      </left>
      <top/>
      <bottom style="medium">
        <color theme="0"/>
      </bottom>
    </border>
    <border>
      <top/>
      <bottom style="medium">
        <color theme="0"/>
      </bottom>
    </border>
    <border>
      <right/>
      <top/>
      <bottom style="medium">
        <color theme="0"/>
      </bottom>
    </border>
    <border>
      <left style="medium">
        <color theme="0"/>
      </left>
      <right style="medium">
        <color theme="0"/>
      </right>
      <top style="medium">
        <color theme="0"/>
      </top>
      <bottom style="medium">
        <color theme="0"/>
      </bottom>
    </border>
    <border>
      <left style="medium">
        <color theme="0"/>
      </left>
      <right/>
      <top style="medium">
        <color theme="0"/>
      </top>
      <bottom style="medium">
        <color theme="0"/>
      </bottom>
    </border>
    <border>
      <top style="medium">
        <color theme="0"/>
      </top>
      <bottom style="medium">
        <color theme="0"/>
      </bottom>
    </border>
    <border>
      <left/>
      <top style="medium">
        <color theme="0"/>
      </top>
      <bottom style="medium">
        <color theme="0"/>
      </bottom>
    </border>
    <border>
      <right/>
      <top style="medium">
        <color theme="0"/>
      </top>
      <bottom style="medium">
        <color theme="0"/>
      </bottom>
    </border>
    <border>
      <left style="medium">
        <color theme="0"/>
      </left>
      <top style="medium">
        <color theme="0"/>
      </top>
      <bottom style="medium">
        <color theme="0"/>
      </bottom>
    </border>
    <border>
      <right style="medium">
        <color theme="0"/>
      </right>
      <top style="medium">
        <color theme="0"/>
      </top>
      <bottom style="medium">
        <color theme="0"/>
      </bottom>
    </border>
    <border>
      <left/>
      <right/>
      <top style="medium">
        <color theme="0"/>
      </top>
      <bottom style="medium">
        <color theme="0"/>
      </bottom>
    </border>
    <border>
      <right style="medium">
        <color theme="0"/>
      </right>
    </border>
    <border>
      <left/>
      <right/>
      <top/>
      <bottom/>
    </border>
    <border>
      <left/>
      <right style="medium">
        <color theme="0"/>
      </right>
      <top style="medium">
        <color theme="0"/>
      </top>
      <bottom style="medium">
        <color theme="0"/>
      </bottom>
    </border>
    <border>
      <left/>
      <top style="medium">
        <color theme="0"/>
      </top>
      <bottom/>
    </border>
    <border>
      <top style="medium">
        <color theme="0"/>
      </top>
      <bottom/>
    </border>
    <border>
      <right/>
      <top style="medium">
        <color theme="0"/>
      </top>
      <bottom/>
    </border>
    <border>
      <right style="thick">
        <color theme="0"/>
      </right>
    </border>
    <border>
      <left style="thick">
        <color theme="0"/>
      </left>
      <top style="thick">
        <color theme="0"/>
      </top>
      <bottom style="thick">
        <color theme="0"/>
      </bottom>
    </border>
    <border>
      <right style="thick">
        <color theme="0"/>
      </right>
      <top style="thick">
        <color theme="0"/>
      </top>
      <bottom style="thick">
        <color theme="0"/>
      </bottom>
    </border>
    <border>
      <left/>
      <top/>
    </border>
    <border>
      <top/>
    </border>
    <border>
      <right/>
      <top/>
    </border>
    <border>
      <left/>
    </border>
    <border>
      <right/>
    </border>
    <border>
      <left/>
      <bottom/>
    </border>
    <border>
      <bottom/>
    </border>
    <border>
      <right/>
      <bottom/>
    </border>
    <border>
      <left style="thick">
        <color theme="0"/>
      </left>
      <top style="thick">
        <color theme="0"/>
      </top>
    </border>
    <border>
      <top style="thick">
        <color theme="0"/>
      </top>
    </border>
    <border>
      <right style="thick">
        <color theme="0"/>
      </right>
      <top style="thick">
        <color theme="0"/>
      </top>
    </border>
    <border>
      <left style="thick">
        <color theme="0"/>
      </left>
    </border>
    <border>
      <left style="thick">
        <color theme="0"/>
      </left>
      <bottom/>
    </border>
    <border>
      <right style="thick">
        <color theme="0"/>
      </right>
      <bottom/>
    </border>
    <border>
      <bottom style="medium">
        <color rgb="FF000000"/>
      </bottom>
    </border>
    <border>
      <top style="medium">
        <color rgb="FF000000"/>
      </top>
    </border>
    <border>
      <left style="medium">
        <color theme="0"/>
      </left>
      <top style="medium">
        <color theme="0"/>
      </top>
    </border>
    <border>
      <top style="medium">
        <color theme="0"/>
      </top>
    </border>
    <border>
      <right style="medium">
        <color theme="0"/>
      </right>
      <top style="medium">
        <color theme="0"/>
      </top>
    </border>
    <border>
      <left style="medium">
        <color theme="0"/>
      </left>
    </border>
    <border>
      <left style="medium">
        <color theme="0"/>
      </left>
      <bottom style="medium">
        <color theme="0"/>
      </bottom>
    </border>
    <border>
      <bottom style="medium">
        <color theme="0"/>
      </bottom>
    </border>
    <border>
      <right style="medium">
        <color theme="0"/>
      </right>
      <bottom style="medium">
        <color theme="0"/>
      </bottom>
    </border>
    <border>
      <left/>
      <right/>
      <top/>
    </border>
    <border>
      <left/>
      <right/>
    </border>
    <border>
      <left/>
      <right/>
      <bottom/>
    </border>
    <border>
      <left style="thick">
        <color theme="0"/>
      </left>
      <bottom style="thick">
        <color theme="0"/>
      </bottom>
    </border>
    <border>
      <bottom style="thick">
        <color theme="0"/>
      </bottom>
    </border>
    <border>
      <right style="thick">
        <color theme="0"/>
      </right>
      <bottom style="thick">
        <color theme="0"/>
      </bottom>
    </border>
    <border>
      <left/>
      <top style="medium">
        <color theme="0"/>
      </top>
    </border>
    <border>
      <right/>
      <top style="medium">
        <color theme="0"/>
      </top>
    </border>
  </borders>
  <cellStyleXfs count="1">
    <xf borderId="0" fillId="0" fontId="0" numFmtId="0" applyAlignment="1" applyFont="1"/>
  </cellStyleXfs>
  <cellXfs count="171">
    <xf borderId="0" fillId="0" fontId="0" numFmtId="0" xfId="0" applyAlignment="1" applyFont="1">
      <alignment readingOrder="0" shrinkToFit="0" vertical="bottom" wrapText="0"/>
    </xf>
    <xf borderId="0" fillId="0" fontId="1" numFmtId="0" xfId="0" applyAlignment="1" applyFont="1">
      <alignment vertical="center"/>
    </xf>
    <xf borderId="0" fillId="0" fontId="2" numFmtId="0" xfId="0" applyAlignment="1" applyFont="1">
      <alignment horizontal="left" shrinkToFit="0" wrapText="1"/>
    </xf>
    <xf borderId="0" fillId="0" fontId="2" numFmtId="0" xfId="0" applyAlignment="1" applyFont="1">
      <alignment horizontal="left"/>
    </xf>
    <xf borderId="0" fillId="0" fontId="3" numFmtId="0" xfId="0" applyAlignment="1" applyFont="1">
      <alignment vertical="center"/>
    </xf>
    <xf borderId="0" fillId="0" fontId="4" numFmtId="0" xfId="0" applyAlignment="1" applyFont="1">
      <alignment horizontal="center" vertical="center"/>
    </xf>
    <xf borderId="0" fillId="0" fontId="5" numFmtId="0" xfId="0" applyAlignment="1" applyFont="1">
      <alignment horizontal="left" shrinkToFit="0" vertical="center" wrapText="1"/>
    </xf>
    <xf borderId="0" fillId="0" fontId="6" numFmtId="0" xfId="0" applyFont="1"/>
    <xf borderId="0" fillId="0" fontId="5" numFmtId="0" xfId="0" applyAlignment="1" applyFont="1">
      <alignment horizontal="center" shrinkToFit="0" vertical="center" wrapText="1"/>
    </xf>
    <xf borderId="0" fillId="0" fontId="5" numFmtId="0" xfId="0" applyAlignment="1" applyFont="1">
      <alignment horizontal="right" shrinkToFit="0" vertical="center" wrapText="1"/>
    </xf>
    <xf borderId="1" fillId="2" fontId="5" numFmtId="0" xfId="0" applyAlignment="1" applyBorder="1" applyFill="1" applyFont="1">
      <alignment horizontal="center" shrinkToFit="0" vertical="center" wrapText="1"/>
    </xf>
    <xf borderId="2" fillId="0" fontId="7" numFmtId="0" xfId="0" applyBorder="1" applyFont="1"/>
    <xf borderId="3" fillId="0" fontId="7" numFmtId="0" xfId="0" applyBorder="1" applyFont="1"/>
    <xf borderId="4" fillId="2" fontId="5" numFmtId="0" xfId="0" applyAlignment="1" applyBorder="1" applyFont="1">
      <alignment horizontal="center" shrinkToFit="0" vertical="center" wrapText="1"/>
    </xf>
    <xf borderId="5" fillId="0" fontId="7" numFmtId="0" xfId="0" applyBorder="1" applyFont="1"/>
    <xf borderId="6" fillId="0" fontId="7" numFmtId="0" xfId="0" applyBorder="1" applyFont="1"/>
    <xf borderId="7" fillId="0" fontId="5" numFmtId="0" xfId="0" applyAlignment="1" applyBorder="1" applyFont="1">
      <alignment horizontal="center" shrinkToFit="0" vertical="center" wrapText="1"/>
    </xf>
    <xf borderId="1" fillId="2" fontId="5" numFmtId="16" xfId="0" applyAlignment="1" applyBorder="1" applyFont="1" applyNumberFormat="1">
      <alignment horizontal="center" shrinkToFit="0" vertical="center" wrapText="1"/>
    </xf>
    <xf borderId="0" fillId="0" fontId="5" numFmtId="0" xfId="0" applyAlignment="1" applyFont="1">
      <alignment vertical="center"/>
    </xf>
    <xf borderId="0" fillId="0" fontId="8" numFmtId="0" xfId="0" applyAlignment="1" applyFont="1">
      <alignment vertical="center"/>
    </xf>
    <xf borderId="0" fillId="0" fontId="5" numFmtId="0" xfId="0" applyAlignment="1" applyFont="1">
      <alignment horizontal="right" vertical="center"/>
    </xf>
    <xf borderId="0" fillId="0" fontId="5" numFmtId="0" xfId="0" applyFont="1"/>
    <xf borderId="4" fillId="3" fontId="9" numFmtId="0" xfId="0" applyAlignment="1" applyBorder="1" applyFill="1" applyFont="1">
      <alignment horizontal="center" shrinkToFit="0" vertical="center" wrapText="1"/>
    </xf>
    <xf borderId="8" fillId="0" fontId="7" numFmtId="0" xfId="0" applyBorder="1" applyFont="1"/>
    <xf borderId="9" fillId="3" fontId="9" numFmtId="0" xfId="0" applyAlignment="1" applyBorder="1" applyFont="1">
      <alignment horizontal="center" shrinkToFit="0" vertical="center" wrapText="1"/>
    </xf>
    <xf borderId="10" fillId="3" fontId="9" numFmtId="0" xfId="0" applyAlignment="1" applyBorder="1" applyFont="1">
      <alignment horizontal="center" shrinkToFit="0" vertical="center" wrapText="1"/>
    </xf>
    <xf borderId="11" fillId="0" fontId="7" numFmtId="0" xfId="0" applyBorder="1" applyFont="1"/>
    <xf borderId="12" fillId="3" fontId="9" numFmtId="0" xfId="0" applyAlignment="1" applyBorder="1" applyFont="1">
      <alignment horizontal="center" shrinkToFit="0" vertical="center" wrapText="1"/>
    </xf>
    <xf borderId="13" fillId="0" fontId="7" numFmtId="0" xfId="0" applyBorder="1" applyFont="1"/>
    <xf borderId="12" fillId="3" fontId="9" numFmtId="0" xfId="0" applyAlignment="1" applyBorder="1" applyFont="1">
      <alignment horizontal="center" vertical="center"/>
    </xf>
    <xf borderId="14" fillId="0" fontId="7" numFmtId="0" xfId="0" applyBorder="1" applyFont="1"/>
    <xf borderId="15" fillId="0" fontId="10" numFmtId="0" xfId="0" applyAlignment="1" applyBorder="1" applyFont="1">
      <alignment horizontal="right"/>
    </xf>
    <xf borderId="16" fillId="2" fontId="5" numFmtId="0" xfId="0" applyAlignment="1" applyBorder="1" applyFont="1">
      <alignment horizontal="center"/>
    </xf>
    <xf borderId="17" fillId="0" fontId="10" numFmtId="0" xfId="0" applyAlignment="1" applyBorder="1" applyFont="1">
      <alignment horizontal="right"/>
    </xf>
    <xf borderId="18" fillId="2" fontId="5" numFmtId="0" xfId="0" applyAlignment="1" applyBorder="1" applyFont="1">
      <alignment horizontal="center" vertical="center"/>
    </xf>
    <xf borderId="17" fillId="0" fontId="7" numFmtId="0" xfId="0" applyBorder="1" applyFont="1"/>
    <xf borderId="19" fillId="0" fontId="7" numFmtId="0" xfId="0" applyBorder="1" applyFont="1"/>
    <xf borderId="20" fillId="2" fontId="5" numFmtId="0" xfId="0" applyAlignment="1" applyBorder="1" applyFont="1">
      <alignment horizontal="center"/>
    </xf>
    <xf borderId="21" fillId="0" fontId="7" numFmtId="0" xfId="0" applyBorder="1" applyFont="1"/>
    <xf borderId="18" fillId="2" fontId="5" numFmtId="0" xfId="0" applyAlignment="1" applyBorder="1" applyFont="1">
      <alignment horizontal="center"/>
    </xf>
    <xf borderId="15" fillId="2" fontId="5" numFmtId="0" xfId="0" applyAlignment="1" applyBorder="1" applyFont="1">
      <alignment horizontal="center" vertical="center"/>
    </xf>
    <xf borderId="20" fillId="2" fontId="5" numFmtId="0" xfId="0" applyAlignment="1" applyBorder="1" applyFont="1">
      <alignment horizontal="center" vertical="center"/>
    </xf>
    <xf borderId="22" fillId="2" fontId="5" numFmtId="0" xfId="0" applyAlignment="1" applyBorder="1" applyFont="1">
      <alignment horizontal="center"/>
    </xf>
    <xf borderId="23" fillId="0" fontId="10" numFmtId="0" xfId="0" applyAlignment="1" applyBorder="1" applyFont="1">
      <alignment horizontal="right"/>
    </xf>
    <xf borderId="24" fillId="2" fontId="5" numFmtId="0" xfId="0" applyAlignment="1" applyBorder="1" applyFont="1">
      <alignment horizontal="center"/>
    </xf>
    <xf borderId="0" fillId="0" fontId="10" numFmtId="0" xfId="0" applyAlignment="1" applyFont="1">
      <alignment horizontal="right"/>
    </xf>
    <xf borderId="25" fillId="2" fontId="5" numFmtId="0" xfId="0" applyAlignment="1" applyBorder="1" applyFont="1">
      <alignment horizontal="center"/>
    </xf>
    <xf borderId="26" fillId="2" fontId="5" numFmtId="0" xfId="0" applyAlignment="1" applyBorder="1" applyFont="1">
      <alignment horizontal="center" vertical="center"/>
    </xf>
    <xf borderId="27" fillId="0" fontId="7" numFmtId="0" xfId="0" applyBorder="1" applyFont="1"/>
    <xf borderId="28" fillId="0" fontId="7" numFmtId="0" xfId="0" applyBorder="1" applyFont="1"/>
    <xf borderId="17" fillId="0" fontId="5" numFmtId="0" xfId="0" applyBorder="1" applyFont="1"/>
    <xf borderId="0" fillId="0" fontId="5" numFmtId="0" xfId="0" applyAlignment="1" applyFont="1">
      <alignment horizontal="center"/>
    </xf>
    <xf borderId="22" fillId="2" fontId="5" numFmtId="0" xfId="0" applyAlignment="1" applyBorder="1" applyFont="1">
      <alignment horizontal="center" vertical="center"/>
    </xf>
    <xf borderId="20" fillId="0" fontId="10" numFmtId="0" xfId="0" applyAlignment="1" applyBorder="1" applyFont="1">
      <alignment horizontal="right"/>
    </xf>
    <xf borderId="21" fillId="0" fontId="5" numFmtId="0" xfId="0" applyBorder="1" applyFont="1"/>
    <xf borderId="0" fillId="0" fontId="6" numFmtId="0" xfId="0" applyAlignment="1" applyFont="1">
      <alignment horizontal="center"/>
    </xf>
    <xf borderId="0" fillId="0" fontId="6" numFmtId="0" xfId="0" applyAlignment="1" applyFont="1">
      <alignment horizontal="center" shrinkToFit="0" wrapText="1"/>
    </xf>
    <xf borderId="0" fillId="0" fontId="11" numFmtId="0" xfId="0" applyFont="1"/>
    <xf borderId="0" fillId="0" fontId="11" numFmtId="0" xfId="0" applyAlignment="1" applyFont="1">
      <alignment vertical="center"/>
    </xf>
    <xf borderId="0" fillId="0" fontId="5" numFmtId="0" xfId="0" applyAlignment="1" applyFont="1">
      <alignment horizontal="left" shrinkToFit="0" wrapText="1"/>
    </xf>
    <xf borderId="0" fillId="0" fontId="12" numFmtId="0" xfId="0" applyAlignment="1" applyFont="1">
      <alignment vertical="center"/>
    </xf>
    <xf borderId="0" fillId="0" fontId="13" numFmtId="0" xfId="0" applyAlignment="1" applyFont="1">
      <alignment shrinkToFit="0" vertical="center" wrapText="1"/>
    </xf>
    <xf borderId="0" fillId="0" fontId="14" numFmtId="0" xfId="0" applyAlignment="1" applyFont="1">
      <alignment shrinkToFit="0" vertical="center" wrapText="1"/>
    </xf>
    <xf borderId="0" fillId="0" fontId="10" numFmtId="0" xfId="0" applyAlignment="1" applyFont="1">
      <alignment horizontal="center" vertical="center"/>
    </xf>
    <xf borderId="0" fillId="0" fontId="10" numFmtId="0" xfId="0" applyAlignment="1" applyFont="1">
      <alignment vertical="center"/>
    </xf>
    <xf borderId="0" fillId="0" fontId="8" numFmtId="0" xfId="0" applyAlignment="1" applyFont="1">
      <alignment shrinkToFit="0" vertical="top" wrapText="1"/>
    </xf>
    <xf borderId="0" fillId="0" fontId="5" numFmtId="0" xfId="0" applyAlignment="1" applyFont="1">
      <alignment horizontal="right" shrinkToFit="0" vertical="top" wrapText="1"/>
    </xf>
    <xf borderId="29" fillId="0" fontId="7" numFmtId="0" xfId="0" applyBorder="1" applyFont="1"/>
    <xf borderId="30" fillId="4" fontId="10" numFmtId="0" xfId="0" applyAlignment="1" applyBorder="1" applyFill="1" applyFont="1">
      <alignment horizontal="center" shrinkToFit="0" vertical="center" wrapText="1"/>
    </xf>
    <xf borderId="31" fillId="0" fontId="7" numFmtId="0" xfId="0" applyBorder="1" applyFont="1"/>
    <xf borderId="30" fillId="5" fontId="10" numFmtId="0" xfId="0" applyAlignment="1" applyBorder="1" applyFill="1" applyFont="1">
      <alignment horizontal="center" shrinkToFit="0" vertical="center" wrapText="1"/>
    </xf>
    <xf borderId="30" fillId="6" fontId="10" numFmtId="0" xfId="0" applyAlignment="1" applyBorder="1" applyFill="1" applyFont="1">
      <alignment horizontal="center" shrinkToFit="0" vertical="center" wrapText="1"/>
    </xf>
    <xf borderId="29" fillId="0" fontId="5" numFmtId="0" xfId="0" applyAlignment="1" applyBorder="1" applyFont="1">
      <alignment horizontal="right" shrinkToFit="0" vertical="top" wrapText="1"/>
    </xf>
    <xf borderId="0" fillId="0" fontId="10" numFmtId="0" xfId="0" applyAlignment="1" applyFont="1">
      <alignment horizontal="center" shrinkToFit="0" vertical="center" wrapText="1"/>
    </xf>
    <xf borderId="0" fillId="0" fontId="15" numFmtId="0" xfId="0" applyAlignment="1" applyFont="1">
      <alignment horizontal="center" shrinkToFit="0" vertical="top" wrapText="1"/>
    </xf>
    <xf borderId="29" fillId="0" fontId="8" numFmtId="0" xfId="0" applyAlignment="1" applyBorder="1" applyFont="1">
      <alignment shrinkToFit="0" vertical="top" wrapText="1"/>
    </xf>
    <xf borderId="0" fillId="0" fontId="5" numFmtId="0" xfId="0" applyAlignment="1" applyFont="1">
      <alignment shrinkToFit="0" vertical="top" wrapText="1"/>
    </xf>
    <xf borderId="0" fillId="0" fontId="5" numFmtId="0" xfId="0" applyAlignment="1" applyFont="1">
      <alignment shrinkToFit="0" vertical="center" wrapText="1"/>
    </xf>
    <xf borderId="0" fillId="0" fontId="5" numFmtId="0" xfId="0" applyAlignment="1" applyFont="1">
      <alignment horizontal="left" shrinkToFit="0" vertical="top" wrapText="1"/>
    </xf>
    <xf borderId="0" fillId="0" fontId="6" numFmtId="16" xfId="0" applyAlignment="1" applyFont="1" applyNumberFormat="1">
      <alignment shrinkToFit="0" vertical="center" wrapText="1"/>
    </xf>
    <xf borderId="0" fillId="0" fontId="6" numFmtId="0" xfId="0" applyAlignment="1" applyFont="1">
      <alignment shrinkToFit="0" vertical="center" wrapText="1"/>
    </xf>
    <xf borderId="0" fillId="0" fontId="6" numFmtId="0" xfId="0" applyAlignment="1" applyFont="1">
      <alignment shrinkToFit="0" wrapText="1"/>
    </xf>
    <xf borderId="0" fillId="0" fontId="13" numFmtId="0" xfId="0" applyAlignment="1" applyFont="1">
      <alignment horizontal="center" shrinkToFit="0" vertical="center" wrapText="1"/>
    </xf>
    <xf borderId="32" fillId="2" fontId="14" numFmtId="0" xfId="0" applyAlignment="1" applyBorder="1" applyFont="1">
      <alignment horizontal="center" shrinkToFit="0" vertical="center" wrapText="1"/>
    </xf>
    <xf borderId="33" fillId="0" fontId="7" numFmtId="0" xfId="0" applyBorder="1" applyFont="1"/>
    <xf borderId="34" fillId="0" fontId="7" numFmtId="0" xfId="0" applyBorder="1" applyFont="1"/>
    <xf borderId="35" fillId="0" fontId="7" numFmtId="0" xfId="0" applyBorder="1" applyFont="1"/>
    <xf borderId="36" fillId="0" fontId="7" numFmtId="0" xfId="0" applyBorder="1" applyFont="1"/>
    <xf borderId="37" fillId="0" fontId="7" numFmtId="0" xfId="0" applyBorder="1" applyFont="1"/>
    <xf borderId="38" fillId="0" fontId="7" numFmtId="0" xfId="0" applyBorder="1" applyFont="1"/>
    <xf borderId="39" fillId="0" fontId="7" numFmtId="0" xfId="0" applyBorder="1" applyFont="1"/>
    <xf borderId="4" fillId="4" fontId="9" numFmtId="0" xfId="0" applyAlignment="1" applyBorder="1" applyFont="1">
      <alignment horizontal="center" vertical="center"/>
    </xf>
    <xf borderId="4" fillId="5" fontId="9" numFmtId="0" xfId="0" applyAlignment="1" applyBorder="1" applyFont="1">
      <alignment horizontal="center" vertical="center"/>
    </xf>
    <xf borderId="4" fillId="6" fontId="10" numFmtId="0" xfId="0" applyAlignment="1" applyBorder="1" applyFont="1">
      <alignment horizontal="center" vertical="center"/>
    </xf>
    <xf borderId="40" fillId="2" fontId="6" numFmtId="0" xfId="0" applyAlignment="1" applyBorder="1" applyFont="1">
      <alignment horizontal="center" shrinkToFit="0" vertical="top" wrapText="1"/>
    </xf>
    <xf borderId="41" fillId="0" fontId="7" numFmtId="0" xfId="0" applyBorder="1" applyFont="1"/>
    <xf borderId="42" fillId="0" fontId="7" numFmtId="0" xfId="0" applyBorder="1" applyFont="1"/>
    <xf borderId="43" fillId="0" fontId="7" numFmtId="0" xfId="0" applyBorder="1" applyFont="1"/>
    <xf borderId="44" fillId="0" fontId="7" numFmtId="0" xfId="0" applyBorder="1" applyFont="1"/>
    <xf borderId="45" fillId="0" fontId="7" numFmtId="0" xfId="0" applyBorder="1" applyFont="1"/>
    <xf borderId="43" fillId="0" fontId="16" numFmtId="0" xfId="0" applyAlignment="1" applyBorder="1" applyFont="1">
      <alignment horizontal="center" shrinkToFit="0" vertical="center" wrapText="1"/>
    </xf>
    <xf borderId="0" fillId="0" fontId="6" numFmtId="0" xfId="0" applyAlignment="1" applyFont="1">
      <alignment shrinkToFit="0" vertical="top" wrapText="1"/>
    </xf>
    <xf borderId="43" fillId="0" fontId="6" numFmtId="0" xfId="0" applyAlignment="1" applyBorder="1" applyFont="1">
      <alignment horizontal="center" shrinkToFit="0" vertical="top" wrapText="1"/>
    </xf>
    <xf borderId="0" fillId="0" fontId="2" numFmtId="0" xfId="0" applyAlignment="1" applyFont="1">
      <alignment vertical="center"/>
    </xf>
    <xf borderId="0" fillId="0" fontId="2" numFmtId="0" xfId="0" applyAlignment="1" applyFont="1">
      <alignment horizontal="left" shrinkToFit="0" vertical="center" wrapText="1"/>
    </xf>
    <xf borderId="0" fillId="0" fontId="10" numFmtId="0" xfId="0" applyAlignment="1" applyFont="1">
      <alignment shrinkToFit="0" vertical="center" wrapText="1"/>
    </xf>
    <xf borderId="0" fillId="0" fontId="10" numFmtId="0" xfId="0" applyAlignment="1" applyFont="1">
      <alignment horizontal="right" shrinkToFit="0" vertical="center" wrapText="1"/>
    </xf>
    <xf borderId="0" fillId="0" fontId="4" numFmtId="0" xfId="0" applyAlignment="1" applyFont="1">
      <alignment horizontal="center"/>
    </xf>
    <xf borderId="0" fillId="0" fontId="6" numFmtId="0" xfId="0" applyAlignment="1" applyFont="1">
      <alignment horizontal="left" shrinkToFit="0" wrapText="1"/>
    </xf>
    <xf borderId="0" fillId="0" fontId="6" numFmtId="0" xfId="0" applyAlignment="1" applyFont="1">
      <alignment horizontal="center" shrinkToFit="0" vertical="center" wrapText="1"/>
    </xf>
    <xf borderId="0" fillId="0" fontId="6" numFmtId="0" xfId="0" applyAlignment="1" applyFont="1">
      <alignment horizontal="left"/>
    </xf>
    <xf borderId="0" fillId="0" fontId="6" numFmtId="0" xfId="0" applyAlignment="1" applyFont="1">
      <alignment horizontal="center" vertical="center"/>
    </xf>
    <xf borderId="0" fillId="0" fontId="4" numFmtId="0" xfId="0" applyAlignment="1" applyFont="1">
      <alignment shrinkToFit="0" vertical="center" wrapText="1"/>
    </xf>
    <xf borderId="0" fillId="0" fontId="4" numFmtId="0" xfId="0" applyFont="1"/>
    <xf borderId="0" fillId="0" fontId="6" numFmtId="164" xfId="0" applyAlignment="1" applyFont="1" applyNumberFormat="1">
      <alignment shrinkToFit="0" vertical="center" wrapText="1"/>
    </xf>
    <xf borderId="0" fillId="0" fontId="6" numFmtId="0" xfId="0" applyAlignment="1" applyFont="1">
      <alignment horizontal="left" vertical="center"/>
    </xf>
    <xf borderId="0" fillId="0" fontId="6" numFmtId="0" xfId="0" applyAlignment="1" applyFont="1">
      <alignment horizontal="left" shrinkToFit="0" vertical="center" wrapText="1"/>
    </xf>
    <xf borderId="0" fillId="0" fontId="6" numFmtId="0" xfId="0" applyAlignment="1" applyFont="1">
      <alignment vertical="center"/>
    </xf>
    <xf borderId="46" fillId="0" fontId="7" numFmtId="0" xfId="0" applyBorder="1" applyFont="1"/>
    <xf borderId="46" fillId="0" fontId="6" numFmtId="0" xfId="0" applyAlignment="1" applyBorder="1" applyFont="1">
      <alignment vertical="center"/>
    </xf>
    <xf borderId="46" fillId="0" fontId="6" numFmtId="0" xfId="0" applyAlignment="1" applyBorder="1" applyFont="1">
      <alignment shrinkToFit="0" vertical="center" wrapText="1"/>
    </xf>
    <xf borderId="46" fillId="0" fontId="6" numFmtId="0" xfId="0" applyAlignment="1" applyBorder="1" applyFont="1">
      <alignment shrinkToFit="0" wrapText="1"/>
    </xf>
    <xf borderId="47" fillId="0" fontId="6" numFmtId="0" xfId="0" applyAlignment="1" applyBorder="1" applyFont="1">
      <alignment horizontal="center" shrinkToFit="0" vertical="center" wrapText="1"/>
    </xf>
    <xf borderId="47" fillId="0" fontId="4" numFmtId="0" xfId="0" applyAlignment="1" applyBorder="1" applyFont="1">
      <alignment horizontal="center" vertical="center"/>
    </xf>
    <xf borderId="47" fillId="0" fontId="6" numFmtId="0" xfId="0" applyBorder="1" applyFont="1"/>
    <xf borderId="47" fillId="0" fontId="6" numFmtId="0" xfId="0" applyAlignment="1" applyBorder="1" applyFont="1">
      <alignment shrinkToFit="0" vertical="center" wrapText="1"/>
    </xf>
    <xf borderId="47" fillId="0" fontId="6" numFmtId="0" xfId="0" applyAlignment="1" applyBorder="1" applyFont="1">
      <alignment shrinkToFit="0" wrapText="1"/>
    </xf>
    <xf borderId="46" fillId="0" fontId="6" numFmtId="0" xfId="0" applyBorder="1" applyFont="1"/>
    <xf borderId="47" fillId="0" fontId="6" numFmtId="0" xfId="0" applyAlignment="1" applyBorder="1" applyFont="1">
      <alignment horizontal="center" shrinkToFit="0" wrapText="1"/>
    </xf>
    <xf borderId="0" fillId="0" fontId="17" numFmtId="0" xfId="0" applyFont="1"/>
    <xf borderId="0" fillId="0" fontId="6" numFmtId="0" xfId="0" applyAlignment="1" applyFont="1">
      <alignment horizontal="right"/>
    </xf>
    <xf borderId="24" fillId="7" fontId="6" numFmtId="0" xfId="0" applyAlignment="1" applyBorder="1" applyFill="1" applyFont="1">
      <alignment horizontal="center" vertical="center"/>
    </xf>
    <xf borderId="24" fillId="8" fontId="6" numFmtId="0" xfId="0" applyAlignment="1" applyBorder="1" applyFill="1" applyFont="1">
      <alignment horizontal="center" vertical="center"/>
    </xf>
    <xf borderId="24" fillId="9" fontId="6" numFmtId="0" xfId="0" applyAlignment="1" applyBorder="1" applyFill="1" applyFont="1">
      <alignment horizontal="center" vertical="center"/>
    </xf>
    <xf borderId="24" fillId="5" fontId="6" numFmtId="0" xfId="0" applyAlignment="1" applyBorder="1" applyFont="1">
      <alignment horizontal="center"/>
    </xf>
    <xf borderId="0" fillId="0" fontId="4" numFmtId="0" xfId="0" applyAlignment="1" applyFont="1">
      <alignment horizontal="left"/>
    </xf>
    <xf borderId="24" fillId="10" fontId="6" numFmtId="0" xfId="0" applyAlignment="1" applyBorder="1" applyFill="1" applyFont="1">
      <alignment horizontal="center"/>
    </xf>
    <xf borderId="24" fillId="6" fontId="6" numFmtId="0" xfId="0" applyAlignment="1" applyBorder="1" applyFont="1">
      <alignment horizontal="center"/>
    </xf>
    <xf borderId="24" fillId="4" fontId="6" numFmtId="0" xfId="0" applyAlignment="1" applyBorder="1" applyFont="1">
      <alignment horizontal="center"/>
    </xf>
    <xf borderId="0" fillId="0" fontId="18" numFmtId="0" xfId="0" applyAlignment="1" applyFont="1">
      <alignment vertical="center"/>
    </xf>
    <xf borderId="48" fillId="2" fontId="8" numFmtId="0" xfId="0" applyAlignment="1" applyBorder="1" applyFont="1">
      <alignment horizontal="center" shrinkToFit="0" vertical="top" wrapText="1"/>
    </xf>
    <xf borderId="49" fillId="0" fontId="7" numFmtId="0" xfId="0" applyBorder="1" applyFont="1"/>
    <xf borderId="50" fillId="0" fontId="7" numFmtId="0" xfId="0" applyBorder="1" applyFont="1"/>
    <xf borderId="51" fillId="0" fontId="7" numFmtId="0" xfId="0" applyBorder="1" applyFont="1"/>
    <xf borderId="23" fillId="0" fontId="7" numFmtId="0" xfId="0" applyBorder="1" applyFont="1"/>
    <xf borderId="52" fillId="0" fontId="7" numFmtId="0" xfId="0" applyBorder="1" applyFont="1"/>
    <xf borderId="53" fillId="0" fontId="7" numFmtId="0" xfId="0" applyBorder="1" applyFont="1"/>
    <xf borderId="54" fillId="0" fontId="7" numFmtId="0" xfId="0" applyBorder="1" applyFont="1"/>
    <xf borderId="24" fillId="11" fontId="19" numFmtId="0" xfId="0" applyAlignment="1" applyBorder="1" applyFill="1" applyFont="1">
      <alignment textRotation="90" vertical="top"/>
    </xf>
    <xf borderId="0" fillId="0" fontId="20" numFmtId="0" xfId="0" applyAlignment="1" applyFont="1">
      <alignment textRotation="90" vertical="top"/>
    </xf>
    <xf borderId="24" fillId="11" fontId="20" numFmtId="0" xfId="0" applyAlignment="1" applyBorder="1" applyFont="1">
      <alignment textRotation="90" vertical="top"/>
    </xf>
    <xf borderId="55" fillId="11" fontId="21" numFmtId="0" xfId="0" applyAlignment="1" applyBorder="1" applyFont="1">
      <alignment horizontal="center" shrinkToFit="0" textRotation="90" vertical="center" wrapText="1"/>
    </xf>
    <xf borderId="56" fillId="0" fontId="7" numFmtId="0" xfId="0" applyBorder="1" applyFont="1"/>
    <xf borderId="0" fillId="0" fontId="22" numFmtId="0" xfId="0" applyAlignment="1" applyFont="1">
      <alignment horizontal="center" vertical="center"/>
    </xf>
    <xf borderId="0" fillId="0" fontId="23" numFmtId="0" xfId="0" applyAlignment="1" applyFont="1">
      <alignment horizontal="center" vertical="center"/>
    </xf>
    <xf borderId="55" fillId="4" fontId="6" numFmtId="0" xfId="0" applyAlignment="1" applyBorder="1" applyFont="1">
      <alignment horizontal="center" textRotation="90" vertical="center"/>
    </xf>
    <xf borderId="40" fillId="2" fontId="6" numFmtId="0" xfId="0" applyAlignment="1" applyBorder="1" applyFont="1">
      <alignment horizontal="center" shrinkToFit="0" vertical="center" wrapText="1"/>
    </xf>
    <xf borderId="57" fillId="0" fontId="7" numFmtId="0" xfId="0" applyBorder="1" applyFont="1"/>
    <xf borderId="58" fillId="0" fontId="7" numFmtId="0" xfId="0" applyBorder="1" applyFont="1"/>
    <xf borderId="59" fillId="0" fontId="7" numFmtId="0" xfId="0" applyBorder="1" applyFont="1"/>
    <xf borderId="60" fillId="0" fontId="7" numFmtId="0" xfId="0" applyBorder="1" applyFont="1"/>
    <xf borderId="55" fillId="5" fontId="6" numFmtId="0" xfId="0" applyAlignment="1" applyBorder="1" applyFont="1">
      <alignment horizontal="center" textRotation="90" vertical="center"/>
    </xf>
    <xf borderId="55" fillId="6" fontId="6" numFmtId="0" xfId="0" applyAlignment="1" applyBorder="1" applyFont="1">
      <alignment horizontal="center" textRotation="90" vertical="center"/>
    </xf>
    <xf borderId="24" fillId="5" fontId="6" numFmtId="0" xfId="0" applyAlignment="1" applyBorder="1" applyFont="1">
      <alignment horizontal="center" vertical="center"/>
    </xf>
    <xf borderId="0" fillId="0" fontId="10" numFmtId="0" xfId="0" applyFont="1"/>
    <xf borderId="0" fillId="0" fontId="24" numFmtId="0" xfId="0" applyAlignment="1" applyFont="1">
      <alignment vertical="center"/>
    </xf>
    <xf borderId="4" fillId="4" fontId="25" numFmtId="0" xfId="0" applyAlignment="1" applyBorder="1" applyFont="1">
      <alignment horizontal="center" vertical="center"/>
    </xf>
    <xf borderId="4" fillId="5" fontId="25" numFmtId="0" xfId="0" applyAlignment="1" applyBorder="1" applyFont="1">
      <alignment horizontal="center" vertical="center"/>
    </xf>
    <xf borderId="4" fillId="6" fontId="26" numFmtId="0" xfId="0" applyAlignment="1" applyBorder="1" applyFont="1">
      <alignment horizontal="center" vertical="center"/>
    </xf>
    <xf borderId="61" fillId="2" fontId="8" numFmtId="0" xfId="0" applyAlignment="1" applyBorder="1" applyFont="1">
      <alignment horizontal="center" shrinkToFit="0" vertical="top" wrapText="1"/>
    </xf>
    <xf borderId="62" fillId="0" fontId="7" numFmtId="0" xfId="0" applyBorder="1" applyFont="1"/>
  </cellXfs>
  <cellStyles count="1">
    <cellStyle xfId="0" name="Normal" builtinId="0"/>
  </cellStyles>
  <dxfs count="10">
    <dxf>
      <font>
        <color theme="0"/>
      </font>
      <fill>
        <patternFill patternType="solid">
          <fgColor rgb="FFF44242"/>
          <bgColor rgb="FFF44242"/>
        </patternFill>
      </fill>
      <border/>
    </dxf>
    <dxf>
      <font>
        <color rgb="FFE26214"/>
      </font>
      <fill>
        <patternFill patternType="solid">
          <fgColor rgb="FFF4B084"/>
          <bgColor rgb="FFF4B084"/>
        </patternFill>
      </fill>
      <border/>
    </dxf>
    <dxf>
      <font>
        <color rgb="FFB48D00"/>
      </font>
      <fill>
        <patternFill patternType="solid">
          <fgColor rgb="FFFFE999"/>
          <bgColor rgb="FFFFE999"/>
        </patternFill>
      </fill>
      <border/>
    </dxf>
    <dxf>
      <font>
        <color rgb="FF476D2D"/>
      </font>
      <fill>
        <patternFill patternType="solid">
          <fgColor rgb="FFA8D08E"/>
          <bgColor rgb="FFA8D08E"/>
        </patternFill>
      </fill>
      <border/>
    </dxf>
    <dxf>
      <font>
        <color theme="0"/>
      </font>
      <fill>
        <patternFill patternType="solid">
          <fgColor rgb="FFF4B084"/>
          <bgColor rgb="FFF4B084"/>
        </patternFill>
      </fill>
      <border/>
    </dxf>
    <dxf>
      <font>
        <color theme="0"/>
      </font>
      <fill>
        <patternFill patternType="solid">
          <fgColor rgb="FFFFE999"/>
          <bgColor rgb="FFFFE999"/>
        </patternFill>
      </fill>
      <border/>
    </dxf>
    <dxf>
      <font>
        <color theme="0"/>
      </font>
      <fill>
        <patternFill patternType="solid">
          <fgColor rgb="FFA8D08E"/>
          <bgColor rgb="FFA8D08E"/>
        </patternFill>
      </fill>
      <border/>
    </dxf>
    <dxf>
      <font/>
      <fill>
        <patternFill patternType="solid">
          <fgColor rgb="FFFFE999"/>
          <bgColor rgb="FFFFE999"/>
        </patternFill>
      </fill>
      <border/>
    </dxf>
    <dxf>
      <font/>
      <fill>
        <patternFill patternType="none"/>
      </fill>
      <border/>
    </dxf>
    <dxf>
      <font/>
      <fill>
        <patternFill patternType="solid">
          <fgColor rgb="FFF4B084"/>
          <bgColor rgb="FFF4B084"/>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11" Type="http://schemas.openxmlformats.org/officeDocument/2006/relationships/worksheet" Target="worksheets/sheet7.xml"/><Relationship Id="rId22" Type="http://schemas.openxmlformats.org/officeDocument/2006/relationships/worksheet" Target="worksheets/sheet18.xml"/><Relationship Id="rId10" Type="http://schemas.openxmlformats.org/officeDocument/2006/relationships/worksheet" Target="worksheets/sheet6.xml"/><Relationship Id="rId21" Type="http://schemas.openxmlformats.org/officeDocument/2006/relationships/worksheet" Target="worksheets/sheet17.xml"/><Relationship Id="rId13" Type="http://schemas.openxmlformats.org/officeDocument/2006/relationships/worksheet" Target="worksheets/sheet9.xml"/><Relationship Id="rId12" Type="http://schemas.openxmlformats.org/officeDocument/2006/relationships/worksheet" Target="worksheets/sheet8.xml"/><Relationship Id="rId23" Type="http://customschemas.google.com/relationships/workbookmetadata" Target="metadata"/><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5" Type="http://schemas.openxmlformats.org/officeDocument/2006/relationships/worksheet" Target="worksheets/sheet1.xml"/><Relationship Id="rId19" Type="http://schemas.openxmlformats.org/officeDocument/2006/relationships/worksheet" Target="worksheets/sheet15.xml"/><Relationship Id="rId6" Type="http://schemas.openxmlformats.org/officeDocument/2006/relationships/worksheet" Target="worksheets/sheet2.xml"/><Relationship Id="rId18" Type="http://schemas.openxmlformats.org/officeDocument/2006/relationships/worksheet" Target="worksheets/sheet14.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2.xml.rels><?xml version="1.0" encoding="UTF-8" standalone="yes"?><Relationships xmlns="http://schemas.openxmlformats.org/package/2006/relationships"><Relationship Id="rId1" Type="http://schemas.openxmlformats.org/officeDocument/2006/relationships/image" Target="../media/image3.jpg"/><Relationship Id="rId2" Type="http://schemas.openxmlformats.org/officeDocument/2006/relationships/image" Target="../media/image4.jpg"/><Relationship Id="rId3" Type="http://schemas.openxmlformats.org/officeDocument/2006/relationships/image" Target="../media/image5.png"/><Relationship Id="rId4" Type="http://schemas.openxmlformats.org/officeDocument/2006/relationships/image" Target="../media/image1.png"/><Relationship Id="rId5"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jp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180975</xdr:colOff>
      <xdr:row>0</xdr:row>
      <xdr:rowOff>0</xdr:rowOff>
    </xdr:from>
    <xdr:ext cx="1495425" cy="695325"/>
    <xdr:pic>
      <xdr:nvPicPr>
        <xdr:cNvPr descr="Home | City of Vancouver"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16</xdr:col>
      <xdr:colOff>209550</xdr:colOff>
      <xdr:row>0</xdr:row>
      <xdr:rowOff>171450</xdr:rowOff>
    </xdr:from>
    <xdr:ext cx="2381250" cy="361950"/>
    <xdr:pic>
      <xdr:nvPicPr>
        <xdr:cNvPr id="0" name="image2.jp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485775</xdr:colOff>
      <xdr:row>1</xdr:row>
      <xdr:rowOff>0</xdr:rowOff>
    </xdr:from>
    <xdr:ext cx="38100" cy="285750"/>
    <xdr:grpSp>
      <xdr:nvGrpSpPr>
        <xdr:cNvPr id="2" name="Shape 2"/>
        <xdr:cNvGrpSpPr/>
      </xdr:nvGrpSpPr>
      <xdr:grpSpPr>
        <a:xfrm>
          <a:off x="5346000" y="3637125"/>
          <a:ext cx="0" cy="285750"/>
          <a:chOff x="5346000" y="3637125"/>
          <a:chExt cx="0" cy="285750"/>
        </a:xfrm>
      </xdr:grpSpPr>
      <xdr:cxnSp>
        <xdr:nvCxnSpPr>
          <xdr:cNvPr id="3" name="Shape 3"/>
          <xdr:cNvCxnSpPr/>
        </xdr:nvCxnSpPr>
        <xdr:spPr>
          <a:xfrm rot="10800000">
            <a:off x="5346000" y="3637125"/>
            <a:ext cx="0" cy="28575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6</xdr:col>
      <xdr:colOff>457200</xdr:colOff>
      <xdr:row>34</xdr:row>
      <xdr:rowOff>47625</xdr:rowOff>
    </xdr:from>
    <xdr:ext cx="38100" cy="285750"/>
    <xdr:grpSp>
      <xdr:nvGrpSpPr>
        <xdr:cNvPr id="2" name="Shape 2"/>
        <xdr:cNvGrpSpPr/>
      </xdr:nvGrpSpPr>
      <xdr:grpSpPr>
        <a:xfrm>
          <a:off x="5346000" y="3637125"/>
          <a:ext cx="0" cy="285750"/>
          <a:chOff x="5346000" y="3637125"/>
          <a:chExt cx="0" cy="285750"/>
        </a:xfrm>
      </xdr:grpSpPr>
      <xdr:cxnSp>
        <xdr:nvCxnSpPr>
          <xdr:cNvPr id="3" name="Shape 3"/>
          <xdr:cNvCxnSpPr/>
        </xdr:nvCxnSpPr>
        <xdr:spPr>
          <a:xfrm rot="10800000">
            <a:off x="5346000" y="3637125"/>
            <a:ext cx="0" cy="28575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6</xdr:col>
      <xdr:colOff>457200</xdr:colOff>
      <xdr:row>66</xdr:row>
      <xdr:rowOff>295275</xdr:rowOff>
    </xdr:from>
    <xdr:ext cx="38100" cy="285750"/>
    <xdr:grpSp>
      <xdr:nvGrpSpPr>
        <xdr:cNvPr id="2" name="Shape 2"/>
        <xdr:cNvGrpSpPr/>
      </xdr:nvGrpSpPr>
      <xdr:grpSpPr>
        <a:xfrm>
          <a:off x="5346000" y="3637125"/>
          <a:ext cx="0" cy="285750"/>
          <a:chOff x="5346000" y="3637125"/>
          <a:chExt cx="0" cy="285750"/>
        </a:xfrm>
      </xdr:grpSpPr>
      <xdr:cxnSp>
        <xdr:nvCxnSpPr>
          <xdr:cNvPr id="4" name="Shape 4"/>
          <xdr:cNvCxnSpPr/>
        </xdr:nvCxnSpPr>
        <xdr:spPr>
          <a:xfrm rot="10800000">
            <a:off x="5346000" y="3637125"/>
            <a:ext cx="0" cy="28575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6</xdr:col>
      <xdr:colOff>457200</xdr:colOff>
      <xdr:row>99</xdr:row>
      <xdr:rowOff>295275</xdr:rowOff>
    </xdr:from>
    <xdr:ext cx="38100" cy="285750"/>
    <xdr:grpSp>
      <xdr:nvGrpSpPr>
        <xdr:cNvPr id="2" name="Shape 2"/>
        <xdr:cNvGrpSpPr/>
      </xdr:nvGrpSpPr>
      <xdr:grpSpPr>
        <a:xfrm>
          <a:off x="5346000" y="3637125"/>
          <a:ext cx="0" cy="285750"/>
          <a:chOff x="5346000" y="3637125"/>
          <a:chExt cx="0" cy="285750"/>
        </a:xfrm>
      </xdr:grpSpPr>
      <xdr:cxnSp>
        <xdr:nvCxnSpPr>
          <xdr:cNvPr id="3" name="Shape 3"/>
          <xdr:cNvCxnSpPr/>
        </xdr:nvCxnSpPr>
        <xdr:spPr>
          <a:xfrm rot="10800000">
            <a:off x="5346000" y="3637125"/>
            <a:ext cx="0" cy="28575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6</xdr:col>
      <xdr:colOff>457200</xdr:colOff>
      <xdr:row>132</xdr:row>
      <xdr:rowOff>295275</xdr:rowOff>
    </xdr:from>
    <xdr:ext cx="38100" cy="285750"/>
    <xdr:grpSp>
      <xdr:nvGrpSpPr>
        <xdr:cNvPr id="2" name="Shape 2"/>
        <xdr:cNvGrpSpPr/>
      </xdr:nvGrpSpPr>
      <xdr:grpSpPr>
        <a:xfrm>
          <a:off x="5346000" y="3637125"/>
          <a:ext cx="0" cy="285750"/>
          <a:chOff x="5346000" y="3637125"/>
          <a:chExt cx="0" cy="285750"/>
        </a:xfrm>
      </xdr:grpSpPr>
      <xdr:cxnSp>
        <xdr:nvCxnSpPr>
          <xdr:cNvPr id="3" name="Shape 3"/>
          <xdr:cNvCxnSpPr/>
        </xdr:nvCxnSpPr>
        <xdr:spPr>
          <a:xfrm rot="10800000">
            <a:off x="5346000" y="3637125"/>
            <a:ext cx="0" cy="28575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6</xdr:col>
      <xdr:colOff>457200</xdr:colOff>
      <xdr:row>166</xdr:row>
      <xdr:rowOff>47625</xdr:rowOff>
    </xdr:from>
    <xdr:ext cx="38100" cy="285750"/>
    <xdr:grpSp>
      <xdr:nvGrpSpPr>
        <xdr:cNvPr id="2" name="Shape 2"/>
        <xdr:cNvGrpSpPr/>
      </xdr:nvGrpSpPr>
      <xdr:grpSpPr>
        <a:xfrm>
          <a:off x="5346000" y="3637125"/>
          <a:ext cx="0" cy="285750"/>
          <a:chOff x="5346000" y="3637125"/>
          <a:chExt cx="0" cy="285750"/>
        </a:xfrm>
      </xdr:grpSpPr>
      <xdr:cxnSp>
        <xdr:nvCxnSpPr>
          <xdr:cNvPr id="3" name="Shape 3"/>
          <xdr:cNvCxnSpPr/>
        </xdr:nvCxnSpPr>
        <xdr:spPr>
          <a:xfrm rot="10800000">
            <a:off x="5346000" y="3637125"/>
            <a:ext cx="0" cy="28575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2</xdr:col>
      <xdr:colOff>247650</xdr:colOff>
      <xdr:row>28</xdr:row>
      <xdr:rowOff>28575</xdr:rowOff>
    </xdr:from>
    <xdr:ext cx="923925" cy="180975"/>
    <xdr:sp>
      <xdr:nvSpPr>
        <xdr:cNvPr id="5" name="Shape 5"/>
        <xdr:cNvSpPr txBox="1"/>
      </xdr:nvSpPr>
      <xdr:spPr>
        <a:xfrm>
          <a:off x="4888150" y="3689623"/>
          <a:ext cx="915700" cy="180755"/>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b="0" lang="en-US" sz="600">
              <a:solidFill>
                <a:schemeClr val="dk1"/>
              </a:solidFill>
              <a:latin typeface="Arial"/>
              <a:ea typeface="Arial"/>
              <a:cs typeface="Arial"/>
              <a:sym typeface="Arial"/>
            </a:rPr>
            <a:t>Source: WorkSafeBC</a:t>
          </a:r>
          <a:endParaRPr sz="1400"/>
        </a:p>
      </xdr:txBody>
    </xdr:sp>
    <xdr:clientData fLocksWithSheet="0"/>
  </xdr:oneCellAnchor>
  <xdr:oneCellAnchor>
    <xdr:from>
      <xdr:col>1</xdr:col>
      <xdr:colOff>104775</xdr:colOff>
      <xdr:row>19</xdr:row>
      <xdr:rowOff>161925</xdr:rowOff>
    </xdr:from>
    <xdr:ext cx="266700" cy="1428750"/>
    <xdr:pic>
      <xdr:nvPicPr>
        <xdr:cNvPr descr="Diagram showing the hierarchy of controls" id="0" name="image3.jp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390525</xdr:colOff>
      <xdr:row>20</xdr:row>
      <xdr:rowOff>28575</xdr:rowOff>
    </xdr:from>
    <xdr:ext cx="2838450" cy="1428750"/>
    <xdr:pic>
      <xdr:nvPicPr>
        <xdr:cNvPr descr="Diagram showing the hierarchy of controls" id="0" name="image4.jpg"/>
        <xdr:cNvPicPr preferRelativeResize="0"/>
      </xdr:nvPicPr>
      <xdr:blipFill>
        <a:blip cstate="print" r:embed="rId2"/>
        <a:stretch>
          <a:fillRect/>
        </a:stretch>
      </xdr:blipFill>
      <xdr:spPr>
        <a:prstGeom prst="rect">
          <a:avLst/>
        </a:prstGeom>
        <a:noFill/>
      </xdr:spPr>
    </xdr:pic>
    <xdr:clientData fLocksWithSheet="0"/>
  </xdr:oneCellAnchor>
  <xdr:oneCellAnchor>
    <xdr:from>
      <xdr:col>0</xdr:col>
      <xdr:colOff>466725</xdr:colOff>
      <xdr:row>0</xdr:row>
      <xdr:rowOff>76200</xdr:rowOff>
    </xdr:from>
    <xdr:ext cx="1257300" cy="590550"/>
    <xdr:pic>
      <xdr:nvPicPr>
        <xdr:cNvPr descr="Home | City of Vancouver" id="0" name="image5.png"/>
        <xdr:cNvPicPr preferRelativeResize="0"/>
      </xdr:nvPicPr>
      <xdr:blipFill>
        <a:blip cstate="print" r:embed="rId3"/>
        <a:stretch>
          <a:fillRect/>
        </a:stretch>
      </xdr:blipFill>
      <xdr:spPr>
        <a:prstGeom prst="rect">
          <a:avLst/>
        </a:prstGeom>
        <a:noFill/>
      </xdr:spPr>
    </xdr:pic>
    <xdr:clientData fLocksWithSheet="0"/>
  </xdr:oneCellAnchor>
  <xdr:oneCellAnchor>
    <xdr:from>
      <xdr:col>4</xdr:col>
      <xdr:colOff>0</xdr:colOff>
      <xdr:row>33</xdr:row>
      <xdr:rowOff>57150</xdr:rowOff>
    </xdr:from>
    <xdr:ext cx="1495425" cy="676275"/>
    <xdr:pic>
      <xdr:nvPicPr>
        <xdr:cNvPr descr="Home | City of Vancouver" id="0" name="image1.png"/>
        <xdr:cNvPicPr preferRelativeResize="0"/>
      </xdr:nvPicPr>
      <xdr:blipFill>
        <a:blip cstate="print" r:embed="rId4"/>
        <a:stretch>
          <a:fillRect/>
        </a:stretch>
      </xdr:blipFill>
      <xdr:spPr>
        <a:prstGeom prst="rect">
          <a:avLst/>
        </a:prstGeom>
        <a:noFill/>
      </xdr:spPr>
    </xdr:pic>
    <xdr:clientData fLocksWithSheet="0"/>
  </xdr:oneCellAnchor>
  <xdr:oneCellAnchor>
    <xdr:from>
      <xdr:col>4</xdr:col>
      <xdr:colOff>0</xdr:colOff>
      <xdr:row>66</xdr:row>
      <xdr:rowOff>0</xdr:rowOff>
    </xdr:from>
    <xdr:ext cx="1495425" cy="676275"/>
    <xdr:pic>
      <xdr:nvPicPr>
        <xdr:cNvPr descr="Home | City of Vancouver" id="0" name="image1.png"/>
        <xdr:cNvPicPr preferRelativeResize="0"/>
      </xdr:nvPicPr>
      <xdr:blipFill>
        <a:blip cstate="print" r:embed="rId4"/>
        <a:stretch>
          <a:fillRect/>
        </a:stretch>
      </xdr:blipFill>
      <xdr:spPr>
        <a:prstGeom prst="rect">
          <a:avLst/>
        </a:prstGeom>
        <a:noFill/>
      </xdr:spPr>
    </xdr:pic>
    <xdr:clientData fLocksWithSheet="0"/>
  </xdr:oneCellAnchor>
  <xdr:oneCellAnchor>
    <xdr:from>
      <xdr:col>4</xdr:col>
      <xdr:colOff>0</xdr:colOff>
      <xdr:row>99</xdr:row>
      <xdr:rowOff>0</xdr:rowOff>
    </xdr:from>
    <xdr:ext cx="1495425" cy="676275"/>
    <xdr:pic>
      <xdr:nvPicPr>
        <xdr:cNvPr descr="Home | City of Vancouver" id="0" name="image1.png"/>
        <xdr:cNvPicPr preferRelativeResize="0"/>
      </xdr:nvPicPr>
      <xdr:blipFill>
        <a:blip cstate="print" r:embed="rId4"/>
        <a:stretch>
          <a:fillRect/>
        </a:stretch>
      </xdr:blipFill>
      <xdr:spPr>
        <a:prstGeom prst="rect">
          <a:avLst/>
        </a:prstGeom>
        <a:noFill/>
      </xdr:spPr>
    </xdr:pic>
    <xdr:clientData fLocksWithSheet="0"/>
  </xdr:oneCellAnchor>
  <xdr:oneCellAnchor>
    <xdr:from>
      <xdr:col>4</xdr:col>
      <xdr:colOff>0</xdr:colOff>
      <xdr:row>132</xdr:row>
      <xdr:rowOff>0</xdr:rowOff>
    </xdr:from>
    <xdr:ext cx="1495425" cy="676275"/>
    <xdr:pic>
      <xdr:nvPicPr>
        <xdr:cNvPr descr="Home | City of Vancouver" id="0" name="image1.png"/>
        <xdr:cNvPicPr preferRelativeResize="0"/>
      </xdr:nvPicPr>
      <xdr:blipFill>
        <a:blip cstate="print" r:embed="rId4"/>
        <a:stretch>
          <a:fillRect/>
        </a:stretch>
      </xdr:blipFill>
      <xdr:spPr>
        <a:prstGeom prst="rect">
          <a:avLst/>
        </a:prstGeom>
        <a:noFill/>
      </xdr:spPr>
    </xdr:pic>
    <xdr:clientData fLocksWithSheet="0"/>
  </xdr:oneCellAnchor>
  <xdr:oneCellAnchor>
    <xdr:from>
      <xdr:col>4</xdr:col>
      <xdr:colOff>0</xdr:colOff>
      <xdr:row>165</xdr:row>
      <xdr:rowOff>57150</xdr:rowOff>
    </xdr:from>
    <xdr:ext cx="1495425" cy="676275"/>
    <xdr:pic>
      <xdr:nvPicPr>
        <xdr:cNvPr descr="Home | City of Vancouver" id="0" name="image1.png"/>
        <xdr:cNvPicPr preferRelativeResize="0"/>
      </xdr:nvPicPr>
      <xdr:blipFill>
        <a:blip cstate="print" r:embed="rId4"/>
        <a:stretch>
          <a:fillRect/>
        </a:stretch>
      </xdr:blipFill>
      <xdr:spPr>
        <a:prstGeom prst="rect">
          <a:avLst/>
        </a:prstGeom>
        <a:noFill/>
      </xdr:spPr>
    </xdr:pic>
    <xdr:clientData fLocksWithSheet="0"/>
  </xdr:oneCellAnchor>
  <xdr:oneCellAnchor>
    <xdr:from>
      <xdr:col>3</xdr:col>
      <xdr:colOff>28575</xdr:colOff>
      <xdr:row>0</xdr:row>
      <xdr:rowOff>247650</xdr:rowOff>
    </xdr:from>
    <xdr:ext cx="2257425" cy="361950"/>
    <xdr:pic>
      <xdr:nvPicPr>
        <xdr:cNvPr id="0" name="image2.jpg"/>
        <xdr:cNvPicPr preferRelativeResize="0"/>
      </xdr:nvPicPr>
      <xdr:blipFill>
        <a:blip cstate="print" r:embed="rId5"/>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495300</xdr:colOff>
      <xdr:row>1</xdr:row>
      <xdr:rowOff>123825</xdr:rowOff>
    </xdr:from>
    <xdr:ext cx="38100" cy="419100"/>
    <xdr:grpSp>
      <xdr:nvGrpSpPr>
        <xdr:cNvPr id="2" name="Shape 2"/>
        <xdr:cNvGrpSpPr/>
      </xdr:nvGrpSpPr>
      <xdr:grpSpPr>
        <a:xfrm>
          <a:off x="5346000" y="3570450"/>
          <a:ext cx="0" cy="419100"/>
          <a:chOff x="5346000" y="3570450"/>
          <a:chExt cx="0" cy="419100"/>
        </a:xfrm>
      </xdr:grpSpPr>
      <xdr:cxnSp>
        <xdr:nvCxnSpPr>
          <xdr:cNvPr id="6" name="Shape 6"/>
          <xdr:cNvCxnSpPr/>
        </xdr:nvCxnSpPr>
        <xdr:spPr>
          <a:xfrm rot="10800000">
            <a:off x="5346000" y="3570450"/>
            <a:ext cx="0" cy="41910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0</xdr:col>
      <xdr:colOff>495300</xdr:colOff>
      <xdr:row>0</xdr:row>
      <xdr:rowOff>123825</xdr:rowOff>
    </xdr:from>
    <xdr:ext cx="1304925" cy="628650"/>
    <xdr:pic>
      <xdr:nvPicPr>
        <xdr:cNvPr descr="Home | City of Vancouver"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9</xdr:col>
      <xdr:colOff>0</xdr:colOff>
      <xdr:row>2</xdr:row>
      <xdr:rowOff>0</xdr:rowOff>
    </xdr:from>
    <xdr:ext cx="2247900" cy="361950"/>
    <xdr:pic>
      <xdr:nvPicPr>
        <xdr:cNvPr id="0" name="image2.jp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485775</xdr:colOff>
      <xdr:row>1</xdr:row>
      <xdr:rowOff>0</xdr:rowOff>
    </xdr:from>
    <xdr:ext cx="38100" cy="285750"/>
    <xdr:grpSp>
      <xdr:nvGrpSpPr>
        <xdr:cNvPr id="2" name="Shape 2"/>
        <xdr:cNvGrpSpPr/>
      </xdr:nvGrpSpPr>
      <xdr:grpSpPr>
        <a:xfrm>
          <a:off x="5346000" y="3637125"/>
          <a:ext cx="0" cy="285750"/>
          <a:chOff x="5346000" y="3637125"/>
          <a:chExt cx="0" cy="285750"/>
        </a:xfrm>
      </xdr:grpSpPr>
      <xdr:cxnSp>
        <xdr:nvCxnSpPr>
          <xdr:cNvPr id="3" name="Shape 3"/>
          <xdr:cNvCxnSpPr/>
        </xdr:nvCxnSpPr>
        <xdr:spPr>
          <a:xfrm rot="10800000">
            <a:off x="5346000" y="3637125"/>
            <a:ext cx="0" cy="28575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6</xdr:col>
      <xdr:colOff>457200</xdr:colOff>
      <xdr:row>34</xdr:row>
      <xdr:rowOff>114300</xdr:rowOff>
    </xdr:from>
    <xdr:ext cx="38100" cy="295275"/>
    <xdr:grpSp>
      <xdr:nvGrpSpPr>
        <xdr:cNvPr id="2" name="Shape 2"/>
        <xdr:cNvGrpSpPr/>
      </xdr:nvGrpSpPr>
      <xdr:grpSpPr>
        <a:xfrm>
          <a:off x="5346000" y="3632363"/>
          <a:ext cx="0" cy="295275"/>
          <a:chOff x="5346000" y="3632363"/>
          <a:chExt cx="0" cy="295275"/>
        </a:xfrm>
      </xdr:grpSpPr>
      <xdr:cxnSp>
        <xdr:nvCxnSpPr>
          <xdr:cNvPr id="7" name="Shape 7"/>
          <xdr:cNvCxnSpPr/>
        </xdr:nvCxnSpPr>
        <xdr:spPr>
          <a:xfrm rot="10800000">
            <a:off x="5346000" y="3632363"/>
            <a:ext cx="0" cy="295275"/>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4</xdr:col>
      <xdr:colOff>28575</xdr:colOff>
      <xdr:row>0</xdr:row>
      <xdr:rowOff>0</xdr:rowOff>
    </xdr:from>
    <xdr:ext cx="1495425" cy="571500"/>
    <xdr:pic>
      <xdr:nvPicPr>
        <xdr:cNvPr descr="Home | City of Vancouver"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4</xdr:col>
      <xdr:colOff>0</xdr:colOff>
      <xdr:row>33</xdr:row>
      <xdr:rowOff>0</xdr:rowOff>
    </xdr:from>
    <xdr:ext cx="1495425" cy="685800"/>
    <xdr:pic>
      <xdr:nvPicPr>
        <xdr:cNvPr descr="Home | City of Vancouve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38100</xdr:colOff>
      <xdr:row>24</xdr:row>
      <xdr:rowOff>57150</xdr:rowOff>
    </xdr:from>
    <xdr:ext cx="581025" cy="1238250"/>
    <xdr:pic>
      <xdr:nvPicPr>
        <xdr:cNvPr descr="Home | City of Vancouver" id="0" name="image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38100</xdr:colOff>
      <xdr:row>24</xdr:row>
      <xdr:rowOff>57150</xdr:rowOff>
    </xdr:from>
    <xdr:ext cx="581025" cy="1238250"/>
    <xdr:pic>
      <xdr:nvPicPr>
        <xdr:cNvPr descr="Home | City of Vancouve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523875</xdr:colOff>
      <xdr:row>1</xdr:row>
      <xdr:rowOff>0</xdr:rowOff>
    </xdr:from>
    <xdr:ext cx="38100" cy="285750"/>
    <xdr:grpSp>
      <xdr:nvGrpSpPr>
        <xdr:cNvPr id="2" name="Shape 2"/>
        <xdr:cNvGrpSpPr/>
      </xdr:nvGrpSpPr>
      <xdr:grpSpPr>
        <a:xfrm>
          <a:off x="5346000" y="3637125"/>
          <a:ext cx="0" cy="285750"/>
          <a:chOff x="5346000" y="3637125"/>
          <a:chExt cx="0" cy="285750"/>
        </a:xfrm>
      </xdr:grpSpPr>
      <xdr:cxnSp>
        <xdr:nvCxnSpPr>
          <xdr:cNvPr id="3" name="Shape 3"/>
          <xdr:cNvCxnSpPr/>
        </xdr:nvCxnSpPr>
        <xdr:spPr>
          <a:xfrm rot="10800000">
            <a:off x="5346000" y="3637125"/>
            <a:ext cx="0" cy="285750"/>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4</xdr:col>
      <xdr:colOff>57150</xdr:colOff>
      <xdr:row>0</xdr:row>
      <xdr:rowOff>0</xdr:rowOff>
    </xdr:from>
    <xdr:ext cx="1495425" cy="571500"/>
    <xdr:pic>
      <xdr:nvPicPr>
        <xdr:cNvPr descr="Home | City of Vancouve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533400</xdr:colOff>
      <xdr:row>0</xdr:row>
      <xdr:rowOff>314325</xdr:rowOff>
    </xdr:from>
    <xdr:ext cx="38100" cy="295275"/>
    <xdr:grpSp>
      <xdr:nvGrpSpPr>
        <xdr:cNvPr id="2" name="Shape 2"/>
        <xdr:cNvGrpSpPr/>
      </xdr:nvGrpSpPr>
      <xdr:grpSpPr>
        <a:xfrm>
          <a:off x="5346000" y="3632363"/>
          <a:ext cx="0" cy="295275"/>
          <a:chOff x="5346000" y="3632363"/>
          <a:chExt cx="0" cy="295275"/>
        </a:xfrm>
      </xdr:grpSpPr>
      <xdr:cxnSp>
        <xdr:nvCxnSpPr>
          <xdr:cNvPr id="7" name="Shape 7"/>
          <xdr:cNvCxnSpPr/>
        </xdr:nvCxnSpPr>
        <xdr:spPr>
          <a:xfrm rot="10800000">
            <a:off x="5346000" y="3632363"/>
            <a:ext cx="0" cy="295275"/>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4</xdr:col>
      <xdr:colOff>57150</xdr:colOff>
      <xdr:row>0</xdr:row>
      <xdr:rowOff>0</xdr:rowOff>
    </xdr:from>
    <xdr:ext cx="1504950" cy="600075"/>
    <xdr:pic>
      <xdr:nvPicPr>
        <xdr:cNvPr descr="Home | City of Vancouve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533400</xdr:colOff>
      <xdr:row>0</xdr:row>
      <xdr:rowOff>314325</xdr:rowOff>
    </xdr:from>
    <xdr:ext cx="38100" cy="295275"/>
    <xdr:grpSp>
      <xdr:nvGrpSpPr>
        <xdr:cNvPr id="2" name="Shape 2"/>
        <xdr:cNvGrpSpPr/>
      </xdr:nvGrpSpPr>
      <xdr:grpSpPr>
        <a:xfrm>
          <a:off x="5346000" y="3632363"/>
          <a:ext cx="0" cy="295275"/>
          <a:chOff x="5346000" y="3632363"/>
          <a:chExt cx="0" cy="295275"/>
        </a:xfrm>
      </xdr:grpSpPr>
      <xdr:cxnSp>
        <xdr:nvCxnSpPr>
          <xdr:cNvPr id="7" name="Shape 7"/>
          <xdr:cNvCxnSpPr/>
        </xdr:nvCxnSpPr>
        <xdr:spPr>
          <a:xfrm rot="10800000">
            <a:off x="5346000" y="3632363"/>
            <a:ext cx="0" cy="295275"/>
          </a:xfrm>
          <a:prstGeom prst="straightConnector1">
            <a:avLst/>
          </a:prstGeom>
          <a:noFill/>
          <a:ln cap="flat" cmpd="sng" w="12700">
            <a:solidFill>
              <a:schemeClr val="dk1"/>
            </a:solidFill>
            <a:prstDash val="solid"/>
            <a:miter lim="800000"/>
            <a:headEnd len="sm" w="sm" type="none"/>
            <a:tailEnd len="sm" w="sm" type="none"/>
          </a:ln>
        </xdr:spPr>
      </xdr:cxnSp>
    </xdr:grpSp>
    <xdr:clientData fLocksWithSheet="0"/>
  </xdr:oneCellAnchor>
  <xdr:oneCellAnchor>
    <xdr:from>
      <xdr:col>4</xdr:col>
      <xdr:colOff>57150</xdr:colOff>
      <xdr:row>0</xdr:row>
      <xdr:rowOff>0</xdr:rowOff>
    </xdr:from>
    <xdr:ext cx="1504950" cy="600075"/>
    <xdr:pic>
      <xdr:nvPicPr>
        <xdr:cNvPr descr="Home | City of Vancouve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5.57"/>
    <col customWidth="1" min="2" max="2" width="4.57"/>
    <col customWidth="1" min="3" max="3" width="8.57"/>
    <col customWidth="1" min="4" max="4" width="4.57"/>
    <col customWidth="1" min="5" max="8" width="4.29"/>
    <col customWidth="1" min="9" max="9" width="4.57"/>
    <col customWidth="1" min="10" max="13" width="4.29"/>
    <col customWidth="1" min="14" max="14" width="4.57"/>
    <col customWidth="1" min="15" max="19" width="4.29"/>
    <col customWidth="1" min="20" max="20" width="4.57"/>
    <col customWidth="1" min="21" max="21" width="8.57"/>
    <col customWidth="1" min="22" max="22" width="4.57"/>
    <col customWidth="1" min="23" max="26" width="8.57"/>
  </cols>
  <sheetData>
    <row r="1" ht="14.25" customHeight="1">
      <c r="D1" s="1"/>
      <c r="E1" s="1"/>
      <c r="F1" s="1"/>
      <c r="G1" s="1"/>
      <c r="H1" s="1"/>
      <c r="I1" s="1"/>
      <c r="J1" s="1"/>
      <c r="K1" s="1"/>
      <c r="L1" s="1"/>
      <c r="M1" s="2"/>
      <c r="N1" s="3"/>
      <c r="O1" s="3"/>
      <c r="P1" s="3"/>
      <c r="Q1" s="3"/>
      <c r="R1" s="3"/>
      <c r="S1" s="3"/>
      <c r="T1" s="3"/>
      <c r="U1" s="3"/>
      <c r="V1" s="3"/>
      <c r="W1" s="1"/>
    </row>
    <row r="2" ht="14.25" customHeight="1">
      <c r="D2" s="1"/>
      <c r="E2" s="1"/>
      <c r="F2" s="1"/>
      <c r="G2" s="1"/>
      <c r="H2" s="1" t="s">
        <v>0</v>
      </c>
      <c r="I2" s="1"/>
      <c r="J2" s="1"/>
      <c r="K2" s="1"/>
      <c r="L2" s="1"/>
      <c r="M2" s="3"/>
      <c r="N2" s="3"/>
      <c r="O2" s="3"/>
      <c r="P2" s="3"/>
      <c r="Q2" s="3"/>
      <c r="R2" s="3"/>
      <c r="S2" s="3"/>
      <c r="T2" s="3"/>
      <c r="U2" s="3"/>
      <c r="V2" s="3"/>
      <c r="W2" s="1"/>
      <c r="X2" s="4"/>
    </row>
    <row r="3" ht="22.5" customHeight="1">
      <c r="D3" s="1"/>
      <c r="E3" s="1"/>
      <c r="F3" s="1"/>
      <c r="G3" s="1"/>
      <c r="H3" s="1" t="s">
        <v>1</v>
      </c>
      <c r="I3" s="1"/>
      <c r="J3" s="1"/>
      <c r="K3" s="1"/>
      <c r="L3" s="1"/>
      <c r="M3" s="3"/>
      <c r="N3" s="3"/>
      <c r="O3" s="3"/>
      <c r="P3" s="3"/>
      <c r="Q3" s="3"/>
      <c r="R3" s="3"/>
      <c r="S3" s="3"/>
      <c r="T3" s="3"/>
      <c r="U3" s="3"/>
      <c r="V3" s="3"/>
      <c r="W3" s="1"/>
      <c r="X3" s="4"/>
    </row>
    <row r="4" ht="14.25" customHeight="1">
      <c r="D4" s="1"/>
      <c r="E4" s="1"/>
      <c r="F4" s="1"/>
      <c r="G4" s="1"/>
      <c r="H4" s="5" t="s">
        <v>2</v>
      </c>
      <c r="Q4" s="1"/>
      <c r="R4" s="1"/>
      <c r="S4" s="1"/>
      <c r="T4" s="1"/>
      <c r="U4" s="1"/>
      <c r="V4" s="1"/>
      <c r="X4" s="4"/>
    </row>
    <row r="5" ht="14.25" customHeight="1">
      <c r="B5" s="6" t="s">
        <v>3</v>
      </c>
    </row>
    <row r="6" ht="14.25" customHeight="1">
      <c r="A6" s="7"/>
      <c r="X6" s="7"/>
      <c r="Y6" s="7"/>
      <c r="Z6" s="7"/>
    </row>
    <row r="7" ht="14.25" customHeight="1"/>
    <row r="8" ht="14.25" customHeight="1">
      <c r="A8" s="7"/>
      <c r="B8" s="8"/>
      <c r="C8" s="8"/>
      <c r="D8" s="8"/>
      <c r="E8" s="8"/>
      <c r="F8" s="8"/>
      <c r="G8" s="8"/>
      <c r="H8" s="8"/>
      <c r="I8" s="8"/>
      <c r="J8" s="8"/>
      <c r="K8" s="8"/>
      <c r="L8" s="8"/>
      <c r="M8" s="8"/>
      <c r="N8" s="8"/>
      <c r="O8" s="8"/>
      <c r="P8" s="8"/>
      <c r="Q8" s="8"/>
      <c r="R8" s="8"/>
      <c r="S8" s="8"/>
      <c r="T8" s="8"/>
      <c r="U8" s="8"/>
      <c r="V8" s="8"/>
      <c r="W8" s="8"/>
      <c r="X8" s="7"/>
      <c r="Y8" s="7"/>
      <c r="Z8" s="7"/>
    </row>
    <row r="9" ht="14.25" customHeight="1">
      <c r="A9" s="7"/>
      <c r="B9" s="9" t="s">
        <v>4</v>
      </c>
      <c r="D9" s="10"/>
      <c r="E9" s="11"/>
      <c r="F9" s="11"/>
      <c r="G9" s="11"/>
      <c r="H9" s="11"/>
      <c r="I9" s="11"/>
      <c r="J9" s="12"/>
      <c r="K9" s="8" t="s">
        <v>5</v>
      </c>
      <c r="N9" s="13"/>
      <c r="O9" s="14"/>
      <c r="P9" s="14"/>
      <c r="Q9" s="14"/>
      <c r="R9" s="14"/>
      <c r="S9" s="14"/>
      <c r="T9" s="15"/>
      <c r="U9" s="16" t="s">
        <v>6</v>
      </c>
      <c r="V9" s="17"/>
      <c r="W9" s="12"/>
      <c r="X9" s="7"/>
      <c r="Y9" s="7"/>
      <c r="Z9" s="7"/>
    </row>
    <row r="10" ht="14.25" customHeight="1">
      <c r="A10" s="7"/>
      <c r="B10" s="8"/>
      <c r="C10" s="18" t="s">
        <v>7</v>
      </c>
      <c r="D10" s="19"/>
      <c r="E10" s="19"/>
      <c r="F10" s="8"/>
      <c r="G10" s="13"/>
      <c r="H10" s="14"/>
      <c r="I10" s="14"/>
      <c r="J10" s="14"/>
      <c r="K10" s="14"/>
      <c r="L10" s="15"/>
      <c r="M10" s="20" t="s">
        <v>8</v>
      </c>
      <c r="U10" s="13"/>
      <c r="V10" s="14"/>
      <c r="W10" s="15"/>
      <c r="X10" s="7"/>
      <c r="Y10" s="7"/>
      <c r="Z10" s="7"/>
    </row>
    <row r="11" ht="14.25" customHeight="1">
      <c r="B11" s="21"/>
      <c r="C11" s="21"/>
      <c r="D11" s="21"/>
      <c r="E11" s="21"/>
      <c r="F11" s="21"/>
      <c r="G11" s="21"/>
      <c r="H11" s="21"/>
      <c r="I11" s="21"/>
      <c r="J11" s="21"/>
      <c r="K11" s="21"/>
      <c r="L11" s="21"/>
      <c r="M11" s="21"/>
      <c r="N11" s="21"/>
      <c r="O11" s="21"/>
      <c r="P11" s="21"/>
      <c r="Q11" s="21"/>
      <c r="R11" s="21"/>
      <c r="S11" s="21"/>
      <c r="T11" s="21"/>
      <c r="U11" s="21"/>
      <c r="V11" s="21"/>
      <c r="W11" s="21"/>
    </row>
    <row r="12" ht="15.0" customHeight="1">
      <c r="B12" s="22" t="s">
        <v>9</v>
      </c>
      <c r="C12" s="23"/>
      <c r="D12" s="24" t="s">
        <v>10</v>
      </c>
      <c r="E12" s="14"/>
      <c r="F12" s="14"/>
      <c r="G12" s="14"/>
      <c r="H12" s="23"/>
      <c r="I12" s="24" t="s">
        <v>11</v>
      </c>
      <c r="J12" s="14"/>
      <c r="K12" s="14"/>
      <c r="L12" s="14"/>
      <c r="M12" s="23"/>
      <c r="N12" s="24" t="s">
        <v>12</v>
      </c>
      <c r="O12" s="14"/>
      <c r="P12" s="14"/>
      <c r="Q12" s="14"/>
      <c r="R12" s="14"/>
      <c r="S12" s="23"/>
      <c r="T12" s="24" t="s">
        <v>13</v>
      </c>
      <c r="U12" s="23"/>
      <c r="V12" s="24" t="s">
        <v>14</v>
      </c>
      <c r="W12" s="15"/>
      <c r="X12" s="7"/>
    </row>
    <row r="13" ht="15.0" customHeight="1">
      <c r="B13" s="25" t="s">
        <v>15</v>
      </c>
      <c r="C13" s="26"/>
      <c r="D13" s="27" t="s">
        <v>16</v>
      </c>
      <c r="E13" s="28"/>
      <c r="F13" s="28"/>
      <c r="G13" s="28"/>
      <c r="H13" s="26"/>
      <c r="I13" s="29" t="s">
        <v>17</v>
      </c>
      <c r="J13" s="28"/>
      <c r="K13" s="28"/>
      <c r="L13" s="28"/>
      <c r="M13" s="26"/>
      <c r="N13" s="29" t="s">
        <v>18</v>
      </c>
      <c r="O13" s="28"/>
      <c r="P13" s="28"/>
      <c r="Q13" s="28"/>
      <c r="R13" s="28"/>
      <c r="S13" s="26"/>
      <c r="T13" s="29" t="s">
        <v>19</v>
      </c>
      <c r="U13" s="26"/>
      <c r="V13" s="29" t="s">
        <v>20</v>
      </c>
      <c r="W13" s="30"/>
      <c r="X13" s="7"/>
    </row>
    <row r="14" ht="14.25" customHeight="1">
      <c r="B14" s="31" t="s">
        <v>21</v>
      </c>
      <c r="C14" s="32"/>
      <c r="D14" s="33" t="s">
        <v>22</v>
      </c>
      <c r="E14" s="34"/>
      <c r="F14" s="35"/>
      <c r="G14" s="35"/>
      <c r="H14" s="36"/>
      <c r="I14" s="33" t="s">
        <v>23</v>
      </c>
      <c r="J14" s="37"/>
      <c r="K14" s="38"/>
      <c r="L14" s="39"/>
      <c r="M14" s="36"/>
      <c r="N14" s="33" t="s">
        <v>24</v>
      </c>
      <c r="O14" s="40"/>
      <c r="P14" s="40"/>
      <c r="Q14" s="40"/>
      <c r="R14" s="41"/>
      <c r="S14" s="38"/>
      <c r="T14" s="33" t="s">
        <v>25</v>
      </c>
      <c r="U14" s="42"/>
      <c r="V14" s="33" t="s">
        <v>26</v>
      </c>
      <c r="W14" s="42"/>
      <c r="X14" s="7"/>
    </row>
    <row r="15" ht="14.25" customHeight="1">
      <c r="B15" s="43" t="s">
        <v>27</v>
      </c>
      <c r="C15" s="44"/>
      <c r="D15" s="45" t="s">
        <v>28</v>
      </c>
      <c r="E15" s="34"/>
      <c r="F15" s="35"/>
      <c r="G15" s="35"/>
      <c r="H15" s="36"/>
      <c r="I15" s="45" t="s">
        <v>29</v>
      </c>
      <c r="J15" s="39"/>
      <c r="K15" s="35"/>
      <c r="L15" s="35"/>
      <c r="M15" s="36"/>
      <c r="N15" s="45" t="s">
        <v>30</v>
      </c>
      <c r="O15" s="34"/>
      <c r="P15" s="35"/>
      <c r="Q15" s="35"/>
      <c r="R15" s="35"/>
      <c r="S15" s="36"/>
      <c r="T15" s="45" t="s">
        <v>31</v>
      </c>
      <c r="U15" s="44"/>
      <c r="V15" s="45" t="s">
        <v>32</v>
      </c>
      <c r="W15" s="44"/>
      <c r="X15" s="7"/>
    </row>
    <row r="16" ht="14.25" customHeight="1">
      <c r="B16" s="31" t="s">
        <v>33</v>
      </c>
      <c r="C16" s="42"/>
      <c r="D16" s="33" t="s">
        <v>34</v>
      </c>
      <c r="E16" s="40"/>
      <c r="F16" s="40"/>
      <c r="G16" s="40"/>
      <c r="H16" s="40"/>
      <c r="I16" s="33" t="s">
        <v>35</v>
      </c>
      <c r="J16" s="39"/>
      <c r="K16" s="35"/>
      <c r="L16" s="35"/>
      <c r="M16" s="36"/>
      <c r="N16" s="33" t="s">
        <v>36</v>
      </c>
      <c r="O16" s="40"/>
      <c r="P16" s="40"/>
      <c r="Q16" s="40"/>
      <c r="R16" s="41"/>
      <c r="S16" s="38"/>
      <c r="T16" s="33" t="s">
        <v>37</v>
      </c>
      <c r="U16" s="42"/>
      <c r="V16" s="33" t="s">
        <v>38</v>
      </c>
      <c r="W16" s="46"/>
      <c r="X16" s="7"/>
    </row>
    <row r="17" ht="14.25" customHeight="1">
      <c r="B17" s="21"/>
      <c r="C17" s="21"/>
      <c r="D17" s="45" t="s">
        <v>39</v>
      </c>
      <c r="E17" s="47"/>
      <c r="F17" s="48"/>
      <c r="G17" s="48"/>
      <c r="H17" s="49"/>
      <c r="I17" s="33" t="s">
        <v>40</v>
      </c>
      <c r="J17" s="39"/>
      <c r="K17" s="35"/>
      <c r="L17" s="35"/>
      <c r="M17" s="36"/>
      <c r="N17" s="33" t="s">
        <v>41</v>
      </c>
      <c r="O17" s="41"/>
      <c r="P17" s="35"/>
      <c r="Q17" s="35"/>
      <c r="R17" s="35"/>
      <c r="S17" s="38"/>
      <c r="T17" s="33" t="s">
        <v>42</v>
      </c>
      <c r="U17" s="42"/>
      <c r="V17" s="33" t="s">
        <v>43</v>
      </c>
      <c r="W17" s="46"/>
      <c r="X17" s="7"/>
    </row>
    <row r="18" ht="14.25" customHeight="1">
      <c r="B18" s="21"/>
      <c r="C18" s="21"/>
      <c r="D18" s="21"/>
      <c r="E18" s="21"/>
      <c r="F18" s="21"/>
      <c r="G18" s="21"/>
      <c r="H18" s="21"/>
      <c r="I18" s="33" t="s">
        <v>44</v>
      </c>
      <c r="J18" s="39"/>
      <c r="K18" s="35"/>
      <c r="L18" s="35"/>
      <c r="M18" s="36"/>
      <c r="N18" s="33" t="s">
        <v>45</v>
      </c>
      <c r="O18" s="41"/>
      <c r="P18" s="35"/>
      <c r="Q18" s="35"/>
      <c r="R18" s="35"/>
      <c r="S18" s="38"/>
      <c r="T18" s="33" t="s">
        <v>46</v>
      </c>
      <c r="U18" s="42"/>
      <c r="V18" s="50"/>
      <c r="W18" s="50"/>
      <c r="X18" s="7"/>
    </row>
    <row r="19" ht="14.25" customHeight="1">
      <c r="B19" s="21"/>
      <c r="C19" s="21"/>
      <c r="D19" s="21"/>
      <c r="E19" s="21"/>
      <c r="F19" s="21"/>
      <c r="G19" s="21"/>
      <c r="H19" s="21"/>
      <c r="I19" s="21"/>
      <c r="J19" s="51"/>
      <c r="K19" s="51"/>
      <c r="L19" s="51"/>
      <c r="M19" s="51"/>
      <c r="N19" s="45" t="s">
        <v>47</v>
      </c>
      <c r="O19" s="34"/>
      <c r="P19" s="36"/>
      <c r="Q19" s="34"/>
      <c r="R19" s="36"/>
      <c r="S19" s="52"/>
      <c r="T19" s="45" t="s">
        <v>48</v>
      </c>
      <c r="U19" s="44"/>
      <c r="V19" s="21"/>
      <c r="W19" s="21"/>
      <c r="X19" s="7"/>
    </row>
    <row r="20" ht="14.25" customHeight="1">
      <c r="B20" s="21"/>
      <c r="C20" s="21"/>
      <c r="D20" s="21"/>
      <c r="E20" s="21"/>
      <c r="F20" s="21"/>
      <c r="G20" s="21"/>
      <c r="H20" s="21"/>
      <c r="I20" s="21"/>
      <c r="J20" s="21"/>
      <c r="K20" s="21"/>
      <c r="L20" s="21"/>
      <c r="M20" s="21"/>
      <c r="N20" s="53" t="s">
        <v>49</v>
      </c>
      <c r="O20" s="34"/>
      <c r="P20" s="35"/>
      <c r="Q20" s="35"/>
      <c r="R20" s="35"/>
      <c r="S20" s="36"/>
      <c r="T20" s="33" t="s">
        <v>50</v>
      </c>
      <c r="U20" s="42"/>
      <c r="V20" s="50"/>
      <c r="W20" s="54"/>
      <c r="X20" s="7"/>
    </row>
    <row r="21" ht="14.25" customHeight="1">
      <c r="B21" s="21"/>
      <c r="C21" s="21"/>
      <c r="D21" s="21"/>
      <c r="E21" s="21"/>
      <c r="F21" s="21"/>
      <c r="G21" s="21"/>
      <c r="H21" s="21"/>
      <c r="I21" s="21"/>
      <c r="J21" s="21"/>
      <c r="K21" s="21"/>
      <c r="L21" s="21"/>
      <c r="M21" s="21"/>
      <c r="N21" s="53" t="s">
        <v>51</v>
      </c>
      <c r="O21" s="34"/>
      <c r="P21" s="35"/>
      <c r="Q21" s="35"/>
      <c r="R21" s="35"/>
      <c r="S21" s="36"/>
      <c r="T21" s="33" t="s">
        <v>52</v>
      </c>
      <c r="U21" s="42"/>
      <c r="V21" s="50"/>
      <c r="W21" s="54"/>
      <c r="X21" s="7"/>
    </row>
    <row r="22" ht="14.25" customHeight="1">
      <c r="B22" s="21"/>
      <c r="C22" s="21"/>
      <c r="D22" s="21"/>
      <c r="E22" s="21"/>
      <c r="F22" s="21"/>
      <c r="G22" s="21"/>
      <c r="H22" s="21"/>
      <c r="I22" s="21"/>
      <c r="J22" s="21"/>
      <c r="K22" s="21"/>
      <c r="L22" s="21"/>
      <c r="M22" s="21"/>
      <c r="N22" s="33" t="s">
        <v>53</v>
      </c>
      <c r="O22" s="34"/>
      <c r="P22" s="35"/>
      <c r="Q22" s="35"/>
      <c r="R22" s="35"/>
      <c r="S22" s="36"/>
      <c r="T22" s="21"/>
      <c r="U22" s="51"/>
      <c r="V22" s="21"/>
      <c r="W22" s="21"/>
      <c r="X22" s="7"/>
    </row>
    <row r="23" ht="14.25" customHeight="1">
      <c r="E23" s="7"/>
      <c r="F23" s="7"/>
      <c r="G23" s="7"/>
      <c r="J23" s="7"/>
      <c r="K23" s="7"/>
      <c r="L23" s="7"/>
      <c r="O23" s="7"/>
      <c r="P23" s="7"/>
      <c r="Q23" s="7"/>
      <c r="R23" s="7"/>
      <c r="S23" s="7"/>
    </row>
    <row r="24" ht="14.25" customHeight="1">
      <c r="E24" s="7"/>
      <c r="F24" s="7"/>
      <c r="G24" s="7"/>
      <c r="J24" s="7"/>
      <c r="K24" s="7"/>
      <c r="L24" s="7"/>
      <c r="O24" s="7"/>
      <c r="P24" s="7"/>
      <c r="Q24" s="7"/>
      <c r="R24" s="7"/>
      <c r="S24" s="7"/>
    </row>
    <row r="25" ht="14.25" customHeight="1">
      <c r="A25" s="55" t="s">
        <v>54</v>
      </c>
    </row>
    <row r="26" ht="14.25" customHeight="1">
      <c r="A26" s="56" t="s">
        <v>55</v>
      </c>
    </row>
    <row r="27" ht="14.25" customHeight="1"/>
    <row r="28" ht="14.25" customHeight="1"/>
    <row r="29" ht="14.25" customHeight="1"/>
    <row r="30" ht="14.25" customHeight="1">
      <c r="E30" s="7"/>
      <c r="F30" s="7"/>
      <c r="G30" s="7"/>
      <c r="J30" s="7"/>
      <c r="K30" s="7"/>
      <c r="L30" s="7"/>
      <c r="O30" s="7"/>
      <c r="P30" s="7"/>
      <c r="Q30" s="7"/>
      <c r="R30" s="7"/>
      <c r="S30" s="7"/>
    </row>
    <row r="31" ht="14.25" customHeight="1">
      <c r="E31" s="7"/>
      <c r="F31" s="7"/>
      <c r="G31" s="7"/>
      <c r="J31" s="7"/>
      <c r="K31" s="7"/>
      <c r="L31" s="7"/>
      <c r="O31" s="7"/>
      <c r="P31" s="7"/>
      <c r="Q31" s="7"/>
      <c r="R31" s="7"/>
      <c r="S31" s="7"/>
    </row>
    <row r="32" ht="14.25" customHeight="1">
      <c r="E32" s="7"/>
      <c r="F32" s="7"/>
      <c r="G32" s="7"/>
      <c r="J32" s="7"/>
      <c r="K32" s="7"/>
      <c r="L32" s="7"/>
      <c r="O32" s="7"/>
      <c r="P32" s="7"/>
      <c r="Q32" s="7"/>
      <c r="R32" s="7"/>
      <c r="S32" s="7"/>
    </row>
    <row r="33" ht="14.25" customHeight="1">
      <c r="E33" s="7"/>
      <c r="F33" s="7"/>
      <c r="G33" s="7"/>
      <c r="J33" s="7"/>
      <c r="K33" s="7"/>
      <c r="L33" s="7"/>
      <c r="O33" s="7"/>
      <c r="P33" s="7"/>
      <c r="Q33" s="7"/>
      <c r="R33" s="7"/>
      <c r="S33" s="7"/>
    </row>
    <row r="34" ht="14.25" customHeight="1">
      <c r="E34" s="7"/>
      <c r="F34" s="7"/>
      <c r="G34" s="7"/>
      <c r="J34" s="7"/>
      <c r="K34" s="7"/>
      <c r="L34" s="7"/>
      <c r="O34" s="7"/>
      <c r="P34" s="7"/>
      <c r="Q34" s="7"/>
      <c r="R34" s="7"/>
      <c r="S34" s="7"/>
    </row>
    <row r="35" ht="14.25" customHeight="1">
      <c r="E35" s="7"/>
      <c r="F35" s="7"/>
      <c r="G35" s="7"/>
      <c r="J35" s="7"/>
      <c r="K35" s="7"/>
      <c r="L35" s="7"/>
      <c r="O35" s="7"/>
      <c r="P35" s="7"/>
      <c r="Q35" s="7"/>
      <c r="R35" s="7"/>
      <c r="S35" s="7"/>
    </row>
    <row r="36" ht="14.25" customHeight="1">
      <c r="E36" s="7"/>
      <c r="F36" s="7"/>
      <c r="G36" s="7"/>
      <c r="J36" s="7"/>
      <c r="K36" s="7"/>
      <c r="L36" s="7"/>
      <c r="O36" s="7"/>
      <c r="P36" s="7"/>
      <c r="Q36" s="7"/>
      <c r="R36" s="7"/>
      <c r="S36" s="7"/>
    </row>
    <row r="37" ht="14.25" customHeight="1">
      <c r="E37" s="7"/>
      <c r="F37" s="7"/>
      <c r="G37" s="7"/>
      <c r="J37" s="7"/>
      <c r="K37" s="7"/>
      <c r="L37" s="7"/>
      <c r="O37" s="7"/>
      <c r="P37" s="7"/>
      <c r="Q37" s="7"/>
      <c r="R37" s="7"/>
      <c r="S37" s="7"/>
    </row>
    <row r="38" ht="14.25" customHeight="1">
      <c r="E38" s="7"/>
      <c r="F38" s="7"/>
      <c r="G38" s="7"/>
      <c r="J38" s="7"/>
      <c r="K38" s="7"/>
      <c r="L38" s="7"/>
      <c r="O38" s="7"/>
      <c r="P38" s="7"/>
      <c r="Q38" s="7"/>
      <c r="R38" s="7"/>
      <c r="S38" s="7"/>
    </row>
    <row r="39" ht="14.25" customHeight="1">
      <c r="E39" s="7"/>
      <c r="F39" s="7"/>
      <c r="G39" s="7"/>
      <c r="J39" s="7"/>
      <c r="K39" s="7"/>
      <c r="L39" s="7"/>
      <c r="O39" s="7"/>
      <c r="P39" s="7"/>
      <c r="Q39" s="7"/>
      <c r="R39" s="7"/>
      <c r="S39" s="7"/>
    </row>
    <row r="40" ht="14.25" customHeight="1">
      <c r="E40" s="7"/>
      <c r="F40" s="7"/>
      <c r="G40" s="7"/>
      <c r="J40" s="7"/>
      <c r="K40" s="7"/>
      <c r="L40" s="7"/>
      <c r="O40" s="7"/>
      <c r="P40" s="7"/>
      <c r="Q40" s="7"/>
      <c r="R40" s="7"/>
      <c r="S40" s="7"/>
    </row>
    <row r="41" ht="14.25" customHeight="1">
      <c r="E41" s="7"/>
      <c r="F41" s="7"/>
      <c r="G41" s="7"/>
      <c r="J41" s="7"/>
      <c r="K41" s="7"/>
      <c r="L41" s="7"/>
      <c r="O41" s="7"/>
      <c r="P41" s="7"/>
      <c r="Q41" s="7"/>
      <c r="R41" s="7"/>
      <c r="S41" s="7"/>
    </row>
    <row r="42" ht="14.25" customHeight="1">
      <c r="E42" s="7"/>
      <c r="F42" s="7"/>
      <c r="G42" s="7"/>
      <c r="J42" s="7"/>
      <c r="K42" s="7"/>
      <c r="L42" s="7"/>
      <c r="O42" s="7"/>
      <c r="P42" s="7"/>
      <c r="Q42" s="7"/>
      <c r="R42" s="7"/>
      <c r="S42" s="7"/>
    </row>
    <row r="43" ht="14.25" customHeight="1">
      <c r="E43" s="7"/>
      <c r="F43" s="7"/>
      <c r="G43" s="7"/>
      <c r="J43" s="7"/>
      <c r="K43" s="7"/>
      <c r="L43" s="7"/>
      <c r="O43" s="7"/>
      <c r="P43" s="7"/>
      <c r="Q43" s="7"/>
      <c r="R43" s="7"/>
      <c r="S43" s="7"/>
    </row>
    <row r="44" ht="14.25" customHeight="1">
      <c r="E44" s="7"/>
      <c r="F44" s="7"/>
      <c r="G44" s="7"/>
      <c r="J44" s="7"/>
      <c r="K44" s="7"/>
      <c r="L44" s="7"/>
      <c r="O44" s="7"/>
      <c r="P44" s="7"/>
      <c r="Q44" s="7"/>
      <c r="R44" s="7"/>
      <c r="S44" s="7"/>
    </row>
    <row r="45" ht="14.25" customHeight="1">
      <c r="E45" s="7"/>
      <c r="F45" s="7"/>
      <c r="G45" s="7"/>
      <c r="J45" s="7"/>
      <c r="K45" s="7"/>
      <c r="L45" s="7"/>
      <c r="O45" s="7"/>
      <c r="P45" s="7"/>
      <c r="Q45" s="7"/>
      <c r="R45" s="7"/>
      <c r="S45" s="7"/>
    </row>
    <row r="46" ht="14.25" customHeight="1">
      <c r="E46" s="7"/>
      <c r="F46" s="7"/>
      <c r="G46" s="7"/>
      <c r="J46" s="7"/>
      <c r="K46" s="7"/>
      <c r="L46" s="7"/>
      <c r="O46" s="7"/>
      <c r="P46" s="7"/>
      <c r="Q46" s="7"/>
      <c r="R46" s="7"/>
      <c r="S46" s="7"/>
    </row>
    <row r="47" ht="14.25" customHeight="1">
      <c r="E47" s="7"/>
      <c r="F47" s="7"/>
      <c r="G47" s="7"/>
      <c r="J47" s="7"/>
      <c r="K47" s="7"/>
      <c r="L47" s="7"/>
      <c r="O47" s="7"/>
      <c r="P47" s="7"/>
      <c r="Q47" s="7"/>
      <c r="R47" s="7"/>
      <c r="S47" s="7"/>
    </row>
    <row r="48" ht="14.25" customHeight="1">
      <c r="E48" s="7"/>
      <c r="F48" s="7"/>
      <c r="G48" s="7"/>
      <c r="J48" s="7"/>
      <c r="K48" s="7"/>
      <c r="L48" s="7"/>
      <c r="O48" s="7"/>
      <c r="P48" s="7"/>
      <c r="Q48" s="7"/>
      <c r="R48" s="7"/>
      <c r="S48" s="7"/>
    </row>
    <row r="49" ht="14.25" customHeight="1">
      <c r="E49" s="7"/>
      <c r="F49" s="7"/>
      <c r="G49" s="7"/>
      <c r="J49" s="7"/>
      <c r="K49" s="7"/>
      <c r="L49" s="7"/>
      <c r="O49" s="7"/>
      <c r="P49" s="7"/>
      <c r="Q49" s="7"/>
      <c r="R49" s="7"/>
      <c r="S49" s="7"/>
    </row>
    <row r="50" ht="14.25" customHeight="1">
      <c r="E50" s="7"/>
      <c r="F50" s="7"/>
      <c r="G50" s="7"/>
      <c r="J50" s="7"/>
      <c r="K50" s="7"/>
      <c r="L50" s="7"/>
      <c r="O50" s="7"/>
      <c r="P50" s="7"/>
      <c r="Q50" s="7"/>
      <c r="R50" s="7"/>
      <c r="S50" s="7"/>
    </row>
    <row r="51" ht="14.25" customHeight="1">
      <c r="E51" s="7"/>
      <c r="F51" s="7"/>
      <c r="G51" s="7"/>
      <c r="J51" s="7"/>
      <c r="K51" s="7"/>
      <c r="L51" s="7"/>
      <c r="O51" s="7"/>
      <c r="P51" s="7"/>
      <c r="Q51" s="7"/>
      <c r="R51" s="7"/>
      <c r="S51" s="7"/>
    </row>
    <row r="52" ht="14.25" customHeight="1">
      <c r="E52" s="7"/>
      <c r="F52" s="7"/>
      <c r="G52" s="7"/>
      <c r="J52" s="7"/>
      <c r="K52" s="7"/>
      <c r="L52" s="7"/>
      <c r="O52" s="7"/>
      <c r="P52" s="7"/>
      <c r="Q52" s="7"/>
      <c r="R52" s="7"/>
      <c r="S52" s="7"/>
    </row>
    <row r="53" ht="14.25" customHeight="1">
      <c r="E53" s="7"/>
      <c r="F53" s="7"/>
      <c r="G53" s="7"/>
      <c r="J53" s="7"/>
      <c r="K53" s="7"/>
      <c r="L53" s="7"/>
      <c r="O53" s="7"/>
      <c r="P53" s="7"/>
      <c r="Q53" s="7"/>
      <c r="R53" s="7"/>
      <c r="S53" s="7"/>
    </row>
    <row r="54" ht="14.25" customHeight="1">
      <c r="E54" s="7"/>
      <c r="F54" s="7"/>
      <c r="G54" s="7"/>
      <c r="J54" s="7"/>
      <c r="K54" s="7"/>
      <c r="L54" s="7"/>
      <c r="O54" s="7"/>
      <c r="P54" s="7"/>
      <c r="Q54" s="7"/>
      <c r="R54" s="7"/>
      <c r="S54" s="7"/>
    </row>
    <row r="55" ht="14.25" customHeight="1">
      <c r="E55" s="7"/>
      <c r="F55" s="7"/>
      <c r="G55" s="7"/>
      <c r="J55" s="7"/>
      <c r="K55" s="7"/>
      <c r="L55" s="7"/>
      <c r="O55" s="7"/>
      <c r="P55" s="7"/>
      <c r="Q55" s="7"/>
      <c r="R55" s="7"/>
      <c r="S55" s="7"/>
    </row>
    <row r="56" ht="14.25" customHeight="1">
      <c r="E56" s="7"/>
      <c r="F56" s="7"/>
      <c r="G56" s="7"/>
      <c r="J56" s="7"/>
      <c r="K56" s="7"/>
      <c r="L56" s="7"/>
      <c r="O56" s="7"/>
      <c r="P56" s="7"/>
      <c r="Q56" s="7"/>
      <c r="R56" s="7"/>
      <c r="S56" s="7"/>
    </row>
    <row r="57" ht="14.25" customHeight="1">
      <c r="E57" s="7"/>
      <c r="F57" s="7"/>
      <c r="G57" s="7"/>
      <c r="J57" s="7"/>
      <c r="K57" s="7"/>
      <c r="L57" s="7"/>
      <c r="O57" s="7"/>
      <c r="P57" s="7"/>
      <c r="Q57" s="7"/>
      <c r="R57" s="7"/>
      <c r="S57" s="7"/>
    </row>
    <row r="58" ht="14.25" customHeight="1">
      <c r="E58" s="7"/>
      <c r="F58" s="7"/>
      <c r="G58" s="7"/>
      <c r="J58" s="7"/>
      <c r="K58" s="7"/>
      <c r="L58" s="7"/>
      <c r="O58" s="7"/>
      <c r="P58" s="7"/>
      <c r="Q58" s="7"/>
      <c r="R58" s="7"/>
      <c r="S58" s="7"/>
    </row>
    <row r="59" ht="14.25" customHeight="1">
      <c r="E59" s="7"/>
      <c r="F59" s="7"/>
      <c r="G59" s="7"/>
      <c r="J59" s="7"/>
      <c r="K59" s="7"/>
      <c r="L59" s="7"/>
      <c r="O59" s="7"/>
      <c r="P59" s="7"/>
      <c r="Q59" s="7"/>
      <c r="R59" s="7"/>
      <c r="S59" s="7"/>
    </row>
    <row r="60" ht="14.25" customHeight="1">
      <c r="E60" s="7"/>
      <c r="F60" s="7"/>
      <c r="G60" s="7"/>
      <c r="J60" s="7"/>
      <c r="K60" s="7"/>
      <c r="L60" s="7"/>
      <c r="O60" s="7"/>
      <c r="P60" s="7"/>
      <c r="Q60" s="7"/>
      <c r="R60" s="7"/>
      <c r="S60" s="7"/>
    </row>
    <row r="61" ht="14.25" customHeight="1">
      <c r="E61" s="7"/>
      <c r="F61" s="7"/>
      <c r="G61" s="7"/>
      <c r="J61" s="7"/>
      <c r="K61" s="7"/>
      <c r="L61" s="7"/>
      <c r="O61" s="7"/>
      <c r="P61" s="7"/>
      <c r="Q61" s="7"/>
      <c r="R61" s="7"/>
      <c r="S61" s="7"/>
    </row>
    <row r="62" ht="14.25" customHeight="1">
      <c r="E62" s="7"/>
      <c r="F62" s="7"/>
      <c r="G62" s="7"/>
      <c r="J62" s="7"/>
      <c r="K62" s="7"/>
      <c r="L62" s="7"/>
      <c r="O62" s="7"/>
      <c r="P62" s="7"/>
      <c r="Q62" s="7"/>
      <c r="R62" s="7"/>
      <c r="S62" s="7"/>
    </row>
    <row r="63" ht="14.25" customHeight="1">
      <c r="E63" s="7"/>
      <c r="F63" s="7"/>
      <c r="G63" s="7"/>
      <c r="J63" s="7"/>
      <c r="K63" s="7"/>
      <c r="L63" s="7"/>
      <c r="O63" s="7"/>
      <c r="P63" s="7"/>
      <c r="Q63" s="7"/>
      <c r="R63" s="7"/>
      <c r="S63" s="7"/>
    </row>
    <row r="64" ht="14.25" customHeight="1">
      <c r="E64" s="7"/>
      <c r="F64" s="7"/>
      <c r="G64" s="7"/>
      <c r="J64" s="7"/>
      <c r="K64" s="7"/>
      <c r="L64" s="7"/>
      <c r="O64" s="7"/>
      <c r="P64" s="7"/>
      <c r="Q64" s="7"/>
      <c r="R64" s="7"/>
      <c r="S64" s="7"/>
    </row>
    <row r="65" ht="14.25" customHeight="1">
      <c r="E65" s="7"/>
      <c r="F65" s="7"/>
      <c r="G65" s="7"/>
      <c r="J65" s="7"/>
      <c r="K65" s="7"/>
      <c r="L65" s="7"/>
      <c r="O65" s="7"/>
      <c r="P65" s="7"/>
      <c r="Q65" s="7"/>
      <c r="R65" s="7"/>
      <c r="S65" s="7"/>
    </row>
    <row r="66" ht="14.25" customHeight="1">
      <c r="E66" s="7"/>
      <c r="F66" s="7"/>
      <c r="G66" s="7"/>
      <c r="J66" s="7"/>
      <c r="K66" s="7"/>
      <c r="L66" s="7"/>
      <c r="O66" s="7"/>
      <c r="P66" s="7"/>
      <c r="Q66" s="7"/>
      <c r="R66" s="7"/>
      <c r="S66" s="7"/>
    </row>
    <row r="67" ht="14.25" customHeight="1">
      <c r="E67" s="7"/>
      <c r="F67" s="7"/>
      <c r="G67" s="7"/>
      <c r="J67" s="7"/>
      <c r="K67" s="7"/>
      <c r="L67" s="7"/>
      <c r="O67" s="7"/>
      <c r="P67" s="7"/>
      <c r="Q67" s="7"/>
      <c r="R67" s="7"/>
      <c r="S67" s="7"/>
    </row>
    <row r="68" ht="14.25" customHeight="1">
      <c r="E68" s="7"/>
      <c r="F68" s="7"/>
      <c r="G68" s="7"/>
      <c r="J68" s="7"/>
      <c r="K68" s="7"/>
      <c r="L68" s="7"/>
      <c r="O68" s="7"/>
      <c r="P68" s="7"/>
      <c r="Q68" s="7"/>
      <c r="R68" s="7"/>
      <c r="S68" s="7"/>
    </row>
    <row r="69" ht="14.25" customHeight="1">
      <c r="E69" s="7"/>
      <c r="F69" s="7"/>
      <c r="G69" s="7"/>
      <c r="J69" s="7"/>
      <c r="K69" s="7"/>
      <c r="L69" s="7"/>
      <c r="O69" s="7"/>
      <c r="P69" s="7"/>
      <c r="Q69" s="7"/>
      <c r="R69" s="7"/>
      <c r="S69" s="7"/>
    </row>
    <row r="70" ht="14.25" customHeight="1">
      <c r="E70" s="7"/>
      <c r="F70" s="7"/>
      <c r="G70" s="7"/>
      <c r="J70" s="7"/>
      <c r="K70" s="7"/>
      <c r="L70" s="7"/>
      <c r="O70" s="7"/>
      <c r="P70" s="7"/>
      <c r="Q70" s="7"/>
      <c r="R70" s="7"/>
      <c r="S70" s="7"/>
    </row>
    <row r="71" ht="14.25" customHeight="1">
      <c r="E71" s="7"/>
      <c r="F71" s="7"/>
      <c r="G71" s="7"/>
      <c r="J71" s="7"/>
      <c r="K71" s="7"/>
      <c r="L71" s="7"/>
      <c r="O71" s="7"/>
      <c r="P71" s="7"/>
      <c r="Q71" s="7"/>
      <c r="R71" s="7"/>
      <c r="S71" s="7"/>
    </row>
    <row r="72" ht="14.25" customHeight="1">
      <c r="E72" s="7"/>
      <c r="F72" s="7"/>
      <c r="G72" s="7"/>
      <c r="J72" s="7"/>
      <c r="K72" s="7"/>
      <c r="L72" s="7"/>
      <c r="O72" s="7"/>
      <c r="P72" s="7"/>
      <c r="Q72" s="7"/>
      <c r="R72" s="7"/>
      <c r="S72" s="7"/>
    </row>
    <row r="73" ht="14.25" customHeight="1">
      <c r="E73" s="7"/>
      <c r="F73" s="7"/>
      <c r="G73" s="7"/>
      <c r="J73" s="7"/>
      <c r="K73" s="7"/>
      <c r="L73" s="7"/>
      <c r="O73" s="7"/>
      <c r="P73" s="7"/>
      <c r="Q73" s="7"/>
      <c r="R73" s="7"/>
      <c r="S73" s="7"/>
    </row>
    <row r="74" ht="14.25" customHeight="1">
      <c r="E74" s="7"/>
      <c r="F74" s="7"/>
      <c r="G74" s="7"/>
      <c r="J74" s="7"/>
      <c r="K74" s="7"/>
      <c r="L74" s="7"/>
      <c r="O74" s="7"/>
      <c r="P74" s="7"/>
      <c r="Q74" s="7"/>
      <c r="R74" s="7"/>
      <c r="S74" s="7"/>
    </row>
    <row r="75" ht="14.25" customHeight="1">
      <c r="E75" s="7"/>
      <c r="F75" s="7"/>
      <c r="G75" s="7"/>
      <c r="J75" s="7"/>
      <c r="K75" s="7"/>
      <c r="L75" s="7"/>
      <c r="O75" s="7"/>
      <c r="P75" s="7"/>
      <c r="Q75" s="7"/>
      <c r="R75" s="7"/>
      <c r="S75" s="7"/>
    </row>
    <row r="76" ht="14.25" customHeight="1">
      <c r="E76" s="7"/>
      <c r="F76" s="7"/>
      <c r="G76" s="7"/>
      <c r="J76" s="7"/>
      <c r="K76" s="7"/>
      <c r="L76" s="7"/>
      <c r="O76" s="7"/>
      <c r="P76" s="7"/>
      <c r="Q76" s="7"/>
      <c r="R76" s="7"/>
      <c r="S76" s="7"/>
    </row>
    <row r="77" ht="14.25" customHeight="1">
      <c r="E77" s="7"/>
      <c r="F77" s="7"/>
      <c r="G77" s="7"/>
      <c r="J77" s="7"/>
      <c r="K77" s="7"/>
      <c r="L77" s="7"/>
      <c r="O77" s="7"/>
      <c r="P77" s="7"/>
      <c r="Q77" s="7"/>
      <c r="R77" s="7"/>
      <c r="S77" s="7"/>
    </row>
    <row r="78" ht="14.25" customHeight="1">
      <c r="E78" s="7"/>
      <c r="F78" s="7"/>
      <c r="G78" s="7"/>
      <c r="J78" s="7"/>
      <c r="K78" s="7"/>
      <c r="L78" s="7"/>
      <c r="O78" s="7"/>
      <c r="P78" s="7"/>
      <c r="Q78" s="7"/>
      <c r="R78" s="7"/>
      <c r="S78" s="7"/>
    </row>
    <row r="79" ht="14.25" customHeight="1">
      <c r="E79" s="7"/>
      <c r="F79" s="7"/>
      <c r="G79" s="7"/>
      <c r="J79" s="7"/>
      <c r="K79" s="7"/>
      <c r="L79" s="7"/>
      <c r="O79" s="7"/>
      <c r="P79" s="7"/>
      <c r="Q79" s="7"/>
      <c r="R79" s="7"/>
      <c r="S79" s="7"/>
    </row>
    <row r="80" ht="14.25" customHeight="1">
      <c r="E80" s="7"/>
      <c r="F80" s="7"/>
      <c r="G80" s="7"/>
      <c r="J80" s="7"/>
      <c r="K80" s="7"/>
      <c r="L80" s="7"/>
      <c r="O80" s="7"/>
      <c r="P80" s="7"/>
      <c r="Q80" s="7"/>
      <c r="R80" s="7"/>
      <c r="S80" s="7"/>
    </row>
    <row r="81" ht="14.25" customHeight="1">
      <c r="E81" s="7"/>
      <c r="F81" s="7"/>
      <c r="G81" s="7"/>
      <c r="J81" s="7"/>
      <c r="K81" s="7"/>
      <c r="L81" s="7"/>
      <c r="O81" s="7"/>
      <c r="P81" s="7"/>
      <c r="Q81" s="7"/>
      <c r="R81" s="7"/>
      <c r="S81" s="7"/>
    </row>
    <row r="82" ht="14.25" customHeight="1">
      <c r="E82" s="7"/>
      <c r="F82" s="7"/>
      <c r="G82" s="7"/>
      <c r="J82" s="7"/>
      <c r="K82" s="7"/>
      <c r="L82" s="7"/>
      <c r="O82" s="7"/>
      <c r="P82" s="7"/>
      <c r="Q82" s="7"/>
      <c r="R82" s="7"/>
      <c r="S82" s="7"/>
    </row>
    <row r="83" ht="14.25" customHeight="1">
      <c r="E83" s="7"/>
      <c r="F83" s="7"/>
      <c r="G83" s="7"/>
      <c r="J83" s="7"/>
      <c r="K83" s="7"/>
      <c r="L83" s="7"/>
      <c r="O83" s="7"/>
      <c r="P83" s="7"/>
      <c r="Q83" s="7"/>
      <c r="R83" s="7"/>
      <c r="S83" s="7"/>
    </row>
    <row r="84" ht="14.25" customHeight="1">
      <c r="E84" s="7"/>
      <c r="F84" s="7"/>
      <c r="G84" s="7"/>
      <c r="J84" s="7"/>
      <c r="K84" s="7"/>
      <c r="L84" s="7"/>
      <c r="O84" s="7"/>
      <c r="P84" s="7"/>
      <c r="Q84" s="7"/>
      <c r="R84" s="7"/>
      <c r="S84" s="7"/>
    </row>
    <row r="85" ht="14.25" customHeight="1">
      <c r="E85" s="7"/>
      <c r="F85" s="7"/>
      <c r="G85" s="7"/>
      <c r="J85" s="7"/>
      <c r="K85" s="7"/>
      <c r="L85" s="7"/>
      <c r="O85" s="7"/>
      <c r="P85" s="7"/>
      <c r="Q85" s="7"/>
      <c r="R85" s="7"/>
      <c r="S85" s="7"/>
    </row>
    <row r="86" ht="14.25" customHeight="1">
      <c r="E86" s="7"/>
      <c r="F86" s="7"/>
      <c r="G86" s="7"/>
      <c r="J86" s="7"/>
      <c r="K86" s="7"/>
      <c r="L86" s="7"/>
      <c r="O86" s="7"/>
      <c r="P86" s="7"/>
      <c r="Q86" s="7"/>
      <c r="R86" s="7"/>
      <c r="S86" s="7"/>
    </row>
    <row r="87" ht="14.25" customHeight="1">
      <c r="E87" s="7"/>
      <c r="F87" s="7"/>
      <c r="G87" s="7"/>
      <c r="J87" s="7"/>
      <c r="K87" s="7"/>
      <c r="L87" s="7"/>
      <c r="O87" s="7"/>
      <c r="P87" s="7"/>
      <c r="Q87" s="7"/>
      <c r="R87" s="7"/>
      <c r="S87" s="7"/>
    </row>
    <row r="88" ht="14.25" customHeight="1">
      <c r="E88" s="7"/>
      <c r="F88" s="7"/>
      <c r="G88" s="7"/>
      <c r="J88" s="7"/>
      <c r="K88" s="7"/>
      <c r="L88" s="7"/>
      <c r="O88" s="7"/>
      <c r="P88" s="7"/>
      <c r="Q88" s="7"/>
      <c r="R88" s="7"/>
      <c r="S88" s="7"/>
    </row>
    <row r="89" ht="14.25" customHeight="1">
      <c r="E89" s="7"/>
      <c r="F89" s="7"/>
      <c r="G89" s="7"/>
      <c r="J89" s="7"/>
      <c r="K89" s="7"/>
      <c r="L89" s="7"/>
      <c r="O89" s="7"/>
      <c r="P89" s="7"/>
      <c r="Q89" s="7"/>
      <c r="R89" s="7"/>
      <c r="S89" s="7"/>
    </row>
    <row r="90" ht="14.25" customHeight="1">
      <c r="E90" s="7"/>
      <c r="F90" s="7"/>
      <c r="G90" s="7"/>
      <c r="J90" s="7"/>
      <c r="K90" s="7"/>
      <c r="L90" s="7"/>
      <c r="O90" s="7"/>
      <c r="P90" s="7"/>
      <c r="Q90" s="7"/>
      <c r="R90" s="7"/>
      <c r="S90" s="7"/>
    </row>
    <row r="91" ht="14.25" customHeight="1">
      <c r="E91" s="7"/>
      <c r="F91" s="7"/>
      <c r="G91" s="7"/>
      <c r="J91" s="7"/>
      <c r="K91" s="7"/>
      <c r="L91" s="7"/>
      <c r="O91" s="7"/>
      <c r="P91" s="7"/>
      <c r="Q91" s="7"/>
      <c r="R91" s="7"/>
      <c r="S91" s="7"/>
    </row>
    <row r="92" ht="14.25" customHeight="1">
      <c r="E92" s="7"/>
      <c r="F92" s="7"/>
      <c r="G92" s="7"/>
      <c r="J92" s="7"/>
      <c r="K92" s="7"/>
      <c r="L92" s="7"/>
      <c r="O92" s="7"/>
      <c r="P92" s="7"/>
      <c r="Q92" s="7"/>
      <c r="R92" s="7"/>
      <c r="S92" s="7"/>
    </row>
    <row r="93" ht="14.25" customHeight="1">
      <c r="E93" s="7"/>
      <c r="F93" s="7"/>
      <c r="G93" s="7"/>
      <c r="J93" s="7"/>
      <c r="K93" s="7"/>
      <c r="L93" s="7"/>
      <c r="O93" s="7"/>
      <c r="P93" s="7"/>
      <c r="Q93" s="7"/>
      <c r="R93" s="7"/>
      <c r="S93" s="7"/>
    </row>
    <row r="94" ht="14.25" customHeight="1">
      <c r="E94" s="7"/>
      <c r="F94" s="7"/>
      <c r="G94" s="7"/>
      <c r="J94" s="7"/>
      <c r="K94" s="7"/>
      <c r="L94" s="7"/>
      <c r="O94" s="7"/>
      <c r="P94" s="7"/>
      <c r="Q94" s="7"/>
      <c r="R94" s="7"/>
      <c r="S94" s="7"/>
    </row>
    <row r="95" ht="14.25" customHeight="1">
      <c r="E95" s="7"/>
      <c r="F95" s="7"/>
      <c r="G95" s="7"/>
      <c r="J95" s="7"/>
      <c r="K95" s="7"/>
      <c r="L95" s="7"/>
      <c r="O95" s="7"/>
      <c r="P95" s="7"/>
      <c r="Q95" s="7"/>
      <c r="R95" s="7"/>
      <c r="S95" s="7"/>
    </row>
    <row r="96" ht="14.25" customHeight="1">
      <c r="E96" s="7"/>
      <c r="F96" s="7"/>
      <c r="G96" s="7"/>
      <c r="J96" s="7"/>
      <c r="K96" s="7"/>
      <c r="L96" s="7"/>
      <c r="O96" s="7"/>
      <c r="P96" s="7"/>
      <c r="Q96" s="7"/>
      <c r="R96" s="7"/>
      <c r="S96" s="7"/>
    </row>
    <row r="97" ht="14.25" customHeight="1">
      <c r="E97" s="7"/>
      <c r="F97" s="7"/>
      <c r="G97" s="7"/>
      <c r="J97" s="7"/>
      <c r="K97" s="7"/>
      <c r="L97" s="7"/>
      <c r="O97" s="7"/>
      <c r="P97" s="7"/>
      <c r="Q97" s="7"/>
      <c r="R97" s="7"/>
      <c r="S97" s="7"/>
    </row>
    <row r="98" ht="14.25" customHeight="1">
      <c r="E98" s="7"/>
      <c r="F98" s="7"/>
      <c r="G98" s="7"/>
      <c r="J98" s="7"/>
      <c r="K98" s="7"/>
      <c r="L98" s="7"/>
      <c r="O98" s="7"/>
      <c r="P98" s="7"/>
      <c r="Q98" s="7"/>
      <c r="R98" s="7"/>
      <c r="S98" s="7"/>
    </row>
    <row r="99" ht="14.25" customHeight="1">
      <c r="E99" s="7"/>
      <c r="F99" s="7"/>
      <c r="G99" s="7"/>
      <c r="J99" s="7"/>
      <c r="K99" s="7"/>
      <c r="L99" s="7"/>
      <c r="O99" s="7"/>
      <c r="P99" s="7"/>
      <c r="Q99" s="7"/>
      <c r="R99" s="7"/>
      <c r="S99" s="7"/>
    </row>
    <row r="100" ht="14.25" customHeight="1">
      <c r="E100" s="7"/>
      <c r="F100" s="7"/>
      <c r="G100" s="7"/>
      <c r="J100" s="7"/>
      <c r="K100" s="7"/>
      <c r="L100" s="7"/>
      <c r="O100" s="7"/>
      <c r="P100" s="7"/>
      <c r="Q100" s="7"/>
      <c r="R100" s="7"/>
      <c r="S100" s="7"/>
    </row>
    <row r="101" ht="14.25" customHeight="1">
      <c r="E101" s="7"/>
      <c r="F101" s="7"/>
      <c r="G101" s="7"/>
      <c r="J101" s="7"/>
      <c r="K101" s="7"/>
      <c r="L101" s="7"/>
      <c r="O101" s="7"/>
      <c r="P101" s="7"/>
      <c r="Q101" s="7"/>
      <c r="R101" s="7"/>
      <c r="S101" s="7"/>
    </row>
    <row r="102" ht="14.25" customHeight="1">
      <c r="E102" s="7"/>
      <c r="F102" s="7"/>
      <c r="G102" s="7"/>
      <c r="J102" s="7"/>
      <c r="K102" s="7"/>
      <c r="L102" s="7"/>
      <c r="O102" s="7"/>
      <c r="P102" s="7"/>
      <c r="Q102" s="7"/>
      <c r="R102" s="7"/>
      <c r="S102" s="7"/>
    </row>
    <row r="103" ht="14.25" customHeight="1">
      <c r="E103" s="7"/>
      <c r="F103" s="7"/>
      <c r="G103" s="7"/>
      <c r="J103" s="7"/>
      <c r="K103" s="7"/>
      <c r="L103" s="7"/>
      <c r="O103" s="7"/>
      <c r="P103" s="7"/>
      <c r="Q103" s="7"/>
      <c r="R103" s="7"/>
      <c r="S103" s="7"/>
    </row>
    <row r="104" ht="14.25" customHeight="1">
      <c r="E104" s="7"/>
      <c r="F104" s="7"/>
      <c r="G104" s="7"/>
      <c r="J104" s="7"/>
      <c r="K104" s="7"/>
      <c r="L104" s="7"/>
      <c r="O104" s="7"/>
      <c r="P104" s="7"/>
      <c r="Q104" s="7"/>
      <c r="R104" s="7"/>
      <c r="S104" s="7"/>
    </row>
    <row r="105" ht="14.25" customHeight="1">
      <c r="E105" s="7"/>
      <c r="F105" s="7"/>
      <c r="G105" s="7"/>
      <c r="J105" s="7"/>
      <c r="K105" s="7"/>
      <c r="L105" s="7"/>
      <c r="O105" s="7"/>
      <c r="P105" s="7"/>
      <c r="Q105" s="7"/>
      <c r="R105" s="7"/>
      <c r="S105" s="7"/>
    </row>
    <row r="106" ht="14.25" customHeight="1">
      <c r="E106" s="7"/>
      <c r="F106" s="7"/>
      <c r="G106" s="7"/>
      <c r="J106" s="7"/>
      <c r="K106" s="7"/>
      <c r="L106" s="7"/>
      <c r="O106" s="7"/>
      <c r="P106" s="7"/>
      <c r="Q106" s="7"/>
      <c r="R106" s="7"/>
      <c r="S106" s="7"/>
    </row>
    <row r="107" ht="14.25" customHeight="1">
      <c r="E107" s="7"/>
      <c r="F107" s="7"/>
      <c r="G107" s="7"/>
      <c r="J107" s="7"/>
      <c r="K107" s="7"/>
      <c r="L107" s="7"/>
      <c r="O107" s="7"/>
      <c r="P107" s="7"/>
      <c r="Q107" s="7"/>
      <c r="R107" s="7"/>
      <c r="S107" s="7"/>
    </row>
    <row r="108" ht="14.25" customHeight="1">
      <c r="E108" s="7"/>
      <c r="F108" s="7"/>
      <c r="G108" s="7"/>
      <c r="J108" s="7"/>
      <c r="K108" s="7"/>
      <c r="L108" s="7"/>
      <c r="O108" s="7"/>
      <c r="P108" s="7"/>
      <c r="Q108" s="7"/>
      <c r="R108" s="7"/>
      <c r="S108" s="7"/>
    </row>
    <row r="109" ht="14.25" customHeight="1">
      <c r="E109" s="7"/>
      <c r="F109" s="7"/>
      <c r="G109" s="7"/>
      <c r="J109" s="7"/>
      <c r="K109" s="7"/>
      <c r="L109" s="7"/>
      <c r="O109" s="7"/>
      <c r="P109" s="7"/>
      <c r="Q109" s="7"/>
      <c r="R109" s="7"/>
      <c r="S109" s="7"/>
    </row>
    <row r="110" ht="14.25" customHeight="1">
      <c r="E110" s="7"/>
      <c r="F110" s="7"/>
      <c r="G110" s="7"/>
      <c r="J110" s="7"/>
      <c r="K110" s="7"/>
      <c r="L110" s="7"/>
      <c r="O110" s="7"/>
      <c r="P110" s="7"/>
      <c r="Q110" s="7"/>
      <c r="R110" s="7"/>
      <c r="S110" s="7"/>
    </row>
    <row r="111" ht="14.25" customHeight="1">
      <c r="E111" s="7"/>
      <c r="F111" s="7"/>
      <c r="G111" s="7"/>
      <c r="J111" s="7"/>
      <c r="K111" s="7"/>
      <c r="L111" s="7"/>
      <c r="O111" s="7"/>
      <c r="P111" s="7"/>
      <c r="Q111" s="7"/>
      <c r="R111" s="7"/>
      <c r="S111" s="7"/>
    </row>
    <row r="112" ht="14.25" customHeight="1">
      <c r="E112" s="7"/>
      <c r="F112" s="7"/>
      <c r="G112" s="7"/>
      <c r="J112" s="7"/>
      <c r="K112" s="7"/>
      <c r="L112" s="7"/>
      <c r="O112" s="7"/>
      <c r="P112" s="7"/>
      <c r="Q112" s="7"/>
      <c r="R112" s="7"/>
      <c r="S112" s="7"/>
    </row>
    <row r="113" ht="14.25" customHeight="1">
      <c r="E113" s="7"/>
      <c r="F113" s="7"/>
      <c r="G113" s="7"/>
      <c r="J113" s="7"/>
      <c r="K113" s="7"/>
      <c r="L113" s="7"/>
      <c r="O113" s="7"/>
      <c r="P113" s="7"/>
      <c r="Q113" s="7"/>
      <c r="R113" s="7"/>
      <c r="S113" s="7"/>
    </row>
    <row r="114" ht="14.25" customHeight="1">
      <c r="E114" s="7"/>
      <c r="F114" s="7"/>
      <c r="G114" s="7"/>
      <c r="J114" s="7"/>
      <c r="K114" s="7"/>
      <c r="L114" s="7"/>
      <c r="O114" s="7"/>
      <c r="P114" s="7"/>
      <c r="Q114" s="7"/>
      <c r="R114" s="7"/>
      <c r="S114" s="7"/>
    </row>
    <row r="115" ht="14.25" customHeight="1">
      <c r="E115" s="7"/>
      <c r="F115" s="7"/>
      <c r="G115" s="7"/>
      <c r="J115" s="7"/>
      <c r="K115" s="7"/>
      <c r="L115" s="7"/>
      <c r="O115" s="7"/>
      <c r="P115" s="7"/>
      <c r="Q115" s="7"/>
      <c r="R115" s="7"/>
      <c r="S115" s="7"/>
    </row>
    <row r="116" ht="14.25" customHeight="1">
      <c r="E116" s="7"/>
      <c r="F116" s="7"/>
      <c r="G116" s="7"/>
      <c r="J116" s="7"/>
      <c r="K116" s="7"/>
      <c r="L116" s="7"/>
      <c r="O116" s="7"/>
      <c r="P116" s="7"/>
      <c r="Q116" s="7"/>
      <c r="R116" s="7"/>
      <c r="S116" s="7"/>
    </row>
    <row r="117" ht="14.25" customHeight="1">
      <c r="E117" s="7"/>
      <c r="F117" s="7"/>
      <c r="G117" s="7"/>
      <c r="J117" s="7"/>
      <c r="K117" s="7"/>
      <c r="L117" s="7"/>
      <c r="O117" s="7"/>
      <c r="P117" s="7"/>
      <c r="Q117" s="7"/>
      <c r="R117" s="7"/>
      <c r="S117" s="7"/>
    </row>
    <row r="118" ht="14.25" customHeight="1">
      <c r="E118" s="7"/>
      <c r="F118" s="7"/>
      <c r="G118" s="7"/>
      <c r="J118" s="7"/>
      <c r="K118" s="7"/>
      <c r="L118" s="7"/>
      <c r="O118" s="7"/>
      <c r="P118" s="7"/>
      <c r="Q118" s="7"/>
      <c r="R118" s="7"/>
      <c r="S118" s="7"/>
    </row>
    <row r="119" ht="14.25" customHeight="1">
      <c r="E119" s="7"/>
      <c r="F119" s="7"/>
      <c r="G119" s="7"/>
      <c r="J119" s="7"/>
      <c r="K119" s="7"/>
      <c r="L119" s="7"/>
      <c r="O119" s="7"/>
      <c r="P119" s="7"/>
      <c r="Q119" s="7"/>
      <c r="R119" s="7"/>
      <c r="S119" s="7"/>
    </row>
    <row r="120" ht="14.25" customHeight="1">
      <c r="E120" s="7"/>
      <c r="F120" s="7"/>
      <c r="G120" s="7"/>
      <c r="J120" s="7"/>
      <c r="K120" s="7"/>
      <c r="L120" s="7"/>
      <c r="O120" s="7"/>
      <c r="P120" s="7"/>
      <c r="Q120" s="7"/>
      <c r="R120" s="7"/>
      <c r="S120" s="7"/>
    </row>
    <row r="121" ht="14.25" customHeight="1">
      <c r="E121" s="7"/>
      <c r="F121" s="7"/>
      <c r="G121" s="7"/>
      <c r="J121" s="7"/>
      <c r="K121" s="7"/>
      <c r="L121" s="7"/>
      <c r="O121" s="7"/>
      <c r="P121" s="7"/>
      <c r="Q121" s="7"/>
      <c r="R121" s="7"/>
      <c r="S121" s="7"/>
    </row>
    <row r="122" ht="14.25" customHeight="1">
      <c r="E122" s="7"/>
      <c r="F122" s="7"/>
      <c r="G122" s="7"/>
      <c r="J122" s="7"/>
      <c r="K122" s="7"/>
      <c r="L122" s="7"/>
      <c r="O122" s="7"/>
      <c r="P122" s="7"/>
      <c r="Q122" s="7"/>
      <c r="R122" s="7"/>
      <c r="S122" s="7"/>
    </row>
    <row r="123" ht="14.25" customHeight="1">
      <c r="E123" s="7"/>
      <c r="F123" s="7"/>
      <c r="G123" s="7"/>
      <c r="J123" s="7"/>
      <c r="K123" s="7"/>
      <c r="L123" s="7"/>
      <c r="O123" s="7"/>
      <c r="P123" s="7"/>
      <c r="Q123" s="7"/>
      <c r="R123" s="7"/>
      <c r="S123" s="7"/>
    </row>
    <row r="124" ht="14.25" customHeight="1">
      <c r="E124" s="7"/>
      <c r="F124" s="7"/>
      <c r="G124" s="7"/>
      <c r="J124" s="7"/>
      <c r="K124" s="7"/>
      <c r="L124" s="7"/>
      <c r="O124" s="7"/>
      <c r="P124" s="7"/>
      <c r="Q124" s="7"/>
      <c r="R124" s="7"/>
      <c r="S124" s="7"/>
    </row>
    <row r="125" ht="14.25" customHeight="1">
      <c r="E125" s="7"/>
      <c r="F125" s="7"/>
      <c r="G125" s="7"/>
      <c r="J125" s="7"/>
      <c r="K125" s="7"/>
      <c r="L125" s="7"/>
      <c r="O125" s="7"/>
      <c r="P125" s="7"/>
      <c r="Q125" s="7"/>
      <c r="R125" s="7"/>
      <c r="S125" s="7"/>
    </row>
    <row r="126" ht="14.25" customHeight="1">
      <c r="E126" s="7"/>
      <c r="F126" s="7"/>
      <c r="G126" s="7"/>
      <c r="J126" s="7"/>
      <c r="K126" s="7"/>
      <c r="L126" s="7"/>
      <c r="O126" s="7"/>
      <c r="P126" s="7"/>
      <c r="Q126" s="7"/>
      <c r="R126" s="7"/>
      <c r="S126" s="7"/>
    </row>
    <row r="127" ht="14.25" customHeight="1">
      <c r="E127" s="7"/>
      <c r="F127" s="7"/>
      <c r="G127" s="7"/>
      <c r="J127" s="7"/>
      <c r="K127" s="7"/>
      <c r="L127" s="7"/>
      <c r="O127" s="7"/>
      <c r="P127" s="7"/>
      <c r="Q127" s="7"/>
      <c r="R127" s="7"/>
      <c r="S127" s="7"/>
    </row>
    <row r="128" ht="14.25" customHeight="1">
      <c r="E128" s="7"/>
      <c r="F128" s="7"/>
      <c r="G128" s="7"/>
      <c r="J128" s="7"/>
      <c r="K128" s="7"/>
      <c r="L128" s="7"/>
      <c r="O128" s="7"/>
      <c r="P128" s="7"/>
      <c r="Q128" s="7"/>
      <c r="R128" s="7"/>
      <c r="S128" s="7"/>
    </row>
    <row r="129" ht="14.25" customHeight="1">
      <c r="E129" s="7"/>
      <c r="F129" s="7"/>
      <c r="G129" s="7"/>
      <c r="J129" s="7"/>
      <c r="K129" s="7"/>
      <c r="L129" s="7"/>
      <c r="O129" s="7"/>
      <c r="P129" s="7"/>
      <c r="Q129" s="7"/>
      <c r="R129" s="7"/>
      <c r="S129" s="7"/>
    </row>
    <row r="130" ht="14.25" customHeight="1">
      <c r="E130" s="7"/>
      <c r="F130" s="7"/>
      <c r="G130" s="7"/>
      <c r="J130" s="7"/>
      <c r="K130" s="7"/>
      <c r="L130" s="7"/>
      <c r="O130" s="7"/>
      <c r="P130" s="7"/>
      <c r="Q130" s="7"/>
      <c r="R130" s="7"/>
      <c r="S130" s="7"/>
    </row>
    <row r="131" ht="14.25" customHeight="1">
      <c r="E131" s="7"/>
      <c r="F131" s="7"/>
      <c r="G131" s="7"/>
      <c r="J131" s="7"/>
      <c r="K131" s="7"/>
      <c r="L131" s="7"/>
      <c r="O131" s="7"/>
      <c r="P131" s="7"/>
      <c r="Q131" s="7"/>
      <c r="R131" s="7"/>
      <c r="S131" s="7"/>
    </row>
    <row r="132" ht="14.25" customHeight="1">
      <c r="E132" s="7"/>
      <c r="F132" s="7"/>
      <c r="G132" s="7"/>
      <c r="J132" s="7"/>
      <c r="K132" s="7"/>
      <c r="L132" s="7"/>
      <c r="O132" s="7"/>
      <c r="P132" s="7"/>
      <c r="Q132" s="7"/>
      <c r="R132" s="7"/>
      <c r="S132" s="7"/>
    </row>
    <row r="133" ht="14.25" customHeight="1">
      <c r="E133" s="7"/>
      <c r="F133" s="7"/>
      <c r="G133" s="7"/>
      <c r="J133" s="7"/>
      <c r="K133" s="7"/>
      <c r="L133" s="7"/>
      <c r="O133" s="7"/>
      <c r="P133" s="7"/>
      <c r="Q133" s="7"/>
      <c r="R133" s="7"/>
      <c r="S133" s="7"/>
    </row>
    <row r="134" ht="14.25" customHeight="1">
      <c r="E134" s="7"/>
      <c r="F134" s="7"/>
      <c r="G134" s="7"/>
      <c r="J134" s="7"/>
      <c r="K134" s="7"/>
      <c r="L134" s="7"/>
      <c r="O134" s="7"/>
      <c r="P134" s="7"/>
      <c r="Q134" s="7"/>
      <c r="R134" s="7"/>
      <c r="S134" s="7"/>
    </row>
    <row r="135" ht="14.25" customHeight="1">
      <c r="E135" s="7"/>
      <c r="F135" s="7"/>
      <c r="G135" s="7"/>
      <c r="J135" s="7"/>
      <c r="K135" s="7"/>
      <c r="L135" s="7"/>
      <c r="O135" s="7"/>
      <c r="P135" s="7"/>
      <c r="Q135" s="7"/>
      <c r="R135" s="7"/>
      <c r="S135" s="7"/>
    </row>
    <row r="136" ht="14.25" customHeight="1">
      <c r="E136" s="7"/>
      <c r="F136" s="7"/>
      <c r="G136" s="7"/>
      <c r="J136" s="7"/>
      <c r="K136" s="7"/>
      <c r="L136" s="7"/>
      <c r="O136" s="7"/>
      <c r="P136" s="7"/>
      <c r="Q136" s="7"/>
      <c r="R136" s="7"/>
      <c r="S136" s="7"/>
    </row>
    <row r="137" ht="14.25" customHeight="1">
      <c r="E137" s="7"/>
      <c r="F137" s="7"/>
      <c r="G137" s="7"/>
      <c r="J137" s="7"/>
      <c r="K137" s="7"/>
      <c r="L137" s="7"/>
      <c r="O137" s="7"/>
      <c r="P137" s="7"/>
      <c r="Q137" s="7"/>
      <c r="R137" s="7"/>
      <c r="S137" s="7"/>
    </row>
    <row r="138" ht="14.25" customHeight="1">
      <c r="E138" s="7"/>
      <c r="F138" s="7"/>
      <c r="G138" s="7"/>
      <c r="J138" s="7"/>
      <c r="K138" s="7"/>
      <c r="L138" s="7"/>
      <c r="O138" s="7"/>
      <c r="P138" s="7"/>
      <c r="Q138" s="7"/>
      <c r="R138" s="7"/>
      <c r="S138" s="7"/>
    </row>
    <row r="139" ht="14.25" customHeight="1">
      <c r="E139" s="7"/>
      <c r="F139" s="7"/>
      <c r="G139" s="7"/>
      <c r="J139" s="7"/>
      <c r="K139" s="7"/>
      <c r="L139" s="7"/>
      <c r="O139" s="7"/>
      <c r="P139" s="7"/>
      <c r="Q139" s="7"/>
      <c r="R139" s="7"/>
      <c r="S139" s="7"/>
    </row>
    <row r="140" ht="14.25" customHeight="1">
      <c r="E140" s="7"/>
      <c r="F140" s="7"/>
      <c r="G140" s="7"/>
      <c r="J140" s="7"/>
      <c r="K140" s="7"/>
      <c r="L140" s="7"/>
      <c r="O140" s="7"/>
      <c r="P140" s="7"/>
      <c r="Q140" s="7"/>
      <c r="R140" s="7"/>
      <c r="S140" s="7"/>
    </row>
    <row r="141" ht="14.25" customHeight="1">
      <c r="E141" s="7"/>
      <c r="F141" s="7"/>
      <c r="G141" s="7"/>
      <c r="J141" s="7"/>
      <c r="K141" s="7"/>
      <c r="L141" s="7"/>
      <c r="O141" s="7"/>
      <c r="P141" s="7"/>
      <c r="Q141" s="7"/>
      <c r="R141" s="7"/>
      <c r="S141" s="7"/>
    </row>
    <row r="142" ht="14.25" customHeight="1">
      <c r="E142" s="7"/>
      <c r="F142" s="7"/>
      <c r="G142" s="7"/>
      <c r="J142" s="7"/>
      <c r="K142" s="7"/>
      <c r="L142" s="7"/>
      <c r="O142" s="7"/>
      <c r="P142" s="7"/>
      <c r="Q142" s="7"/>
      <c r="R142" s="7"/>
      <c r="S142" s="7"/>
    </row>
    <row r="143" ht="14.25" customHeight="1">
      <c r="E143" s="7"/>
      <c r="F143" s="7"/>
      <c r="G143" s="7"/>
      <c r="J143" s="7"/>
      <c r="K143" s="7"/>
      <c r="L143" s="7"/>
      <c r="O143" s="7"/>
      <c r="P143" s="7"/>
      <c r="Q143" s="7"/>
      <c r="R143" s="7"/>
      <c r="S143" s="7"/>
    </row>
    <row r="144" ht="14.25" customHeight="1">
      <c r="E144" s="7"/>
      <c r="F144" s="7"/>
      <c r="G144" s="7"/>
      <c r="J144" s="7"/>
      <c r="K144" s="7"/>
      <c r="L144" s="7"/>
      <c r="O144" s="7"/>
      <c r="P144" s="7"/>
      <c r="Q144" s="7"/>
      <c r="R144" s="7"/>
      <c r="S144" s="7"/>
    </row>
    <row r="145" ht="14.25" customHeight="1">
      <c r="E145" s="7"/>
      <c r="F145" s="7"/>
      <c r="G145" s="7"/>
      <c r="J145" s="7"/>
      <c r="K145" s="7"/>
      <c r="L145" s="7"/>
      <c r="O145" s="7"/>
      <c r="P145" s="7"/>
      <c r="Q145" s="7"/>
      <c r="R145" s="7"/>
      <c r="S145" s="7"/>
    </row>
    <row r="146" ht="14.25" customHeight="1">
      <c r="E146" s="7"/>
      <c r="F146" s="7"/>
      <c r="G146" s="7"/>
      <c r="J146" s="7"/>
      <c r="K146" s="7"/>
      <c r="L146" s="7"/>
      <c r="O146" s="7"/>
      <c r="P146" s="7"/>
      <c r="Q146" s="7"/>
      <c r="R146" s="7"/>
      <c r="S146" s="7"/>
    </row>
    <row r="147" ht="14.25" customHeight="1">
      <c r="E147" s="7"/>
      <c r="F147" s="7"/>
      <c r="G147" s="7"/>
      <c r="J147" s="7"/>
      <c r="K147" s="7"/>
      <c r="L147" s="7"/>
      <c r="O147" s="7"/>
      <c r="P147" s="7"/>
      <c r="Q147" s="7"/>
      <c r="R147" s="7"/>
      <c r="S147" s="7"/>
    </row>
    <row r="148" ht="14.25" customHeight="1">
      <c r="E148" s="7"/>
      <c r="F148" s="7"/>
      <c r="G148" s="7"/>
      <c r="J148" s="7"/>
      <c r="K148" s="7"/>
      <c r="L148" s="7"/>
      <c r="O148" s="7"/>
      <c r="P148" s="7"/>
      <c r="Q148" s="7"/>
      <c r="R148" s="7"/>
      <c r="S148" s="7"/>
    </row>
    <row r="149" ht="14.25" customHeight="1">
      <c r="E149" s="7"/>
      <c r="F149" s="7"/>
      <c r="G149" s="7"/>
      <c r="J149" s="7"/>
      <c r="K149" s="7"/>
      <c r="L149" s="7"/>
      <c r="O149" s="7"/>
      <c r="P149" s="7"/>
      <c r="Q149" s="7"/>
      <c r="R149" s="7"/>
      <c r="S149" s="7"/>
    </row>
    <row r="150" ht="14.25" customHeight="1">
      <c r="E150" s="7"/>
      <c r="F150" s="7"/>
      <c r="G150" s="7"/>
      <c r="J150" s="7"/>
      <c r="K150" s="7"/>
      <c r="L150" s="7"/>
      <c r="O150" s="7"/>
      <c r="P150" s="7"/>
      <c r="Q150" s="7"/>
      <c r="R150" s="7"/>
      <c r="S150" s="7"/>
    </row>
    <row r="151" ht="14.25" customHeight="1">
      <c r="E151" s="7"/>
      <c r="F151" s="7"/>
      <c r="G151" s="7"/>
      <c r="J151" s="7"/>
      <c r="K151" s="7"/>
      <c r="L151" s="7"/>
      <c r="O151" s="7"/>
      <c r="P151" s="7"/>
      <c r="Q151" s="7"/>
      <c r="R151" s="7"/>
      <c r="S151" s="7"/>
    </row>
    <row r="152" ht="14.25" customHeight="1">
      <c r="E152" s="7"/>
      <c r="F152" s="7"/>
      <c r="G152" s="7"/>
      <c r="J152" s="7"/>
      <c r="K152" s="7"/>
      <c r="L152" s="7"/>
      <c r="O152" s="7"/>
      <c r="P152" s="7"/>
      <c r="Q152" s="7"/>
      <c r="R152" s="7"/>
      <c r="S152" s="7"/>
    </row>
    <row r="153" ht="14.25" customHeight="1">
      <c r="E153" s="7"/>
      <c r="F153" s="7"/>
      <c r="G153" s="7"/>
      <c r="J153" s="7"/>
      <c r="K153" s="7"/>
      <c r="L153" s="7"/>
      <c r="O153" s="7"/>
      <c r="P153" s="7"/>
      <c r="Q153" s="7"/>
      <c r="R153" s="7"/>
      <c r="S153" s="7"/>
    </row>
    <row r="154" ht="14.25" customHeight="1">
      <c r="E154" s="7"/>
      <c r="F154" s="7"/>
      <c r="G154" s="7"/>
      <c r="J154" s="7"/>
      <c r="K154" s="7"/>
      <c r="L154" s="7"/>
      <c r="O154" s="7"/>
      <c r="P154" s="7"/>
      <c r="Q154" s="7"/>
      <c r="R154" s="7"/>
      <c r="S154" s="7"/>
    </row>
    <row r="155" ht="14.25" customHeight="1">
      <c r="E155" s="7"/>
      <c r="F155" s="7"/>
      <c r="G155" s="7"/>
      <c r="J155" s="7"/>
      <c r="K155" s="7"/>
      <c r="L155" s="7"/>
      <c r="O155" s="7"/>
      <c r="P155" s="7"/>
      <c r="Q155" s="7"/>
      <c r="R155" s="7"/>
      <c r="S155" s="7"/>
    </row>
    <row r="156" ht="14.25" customHeight="1">
      <c r="E156" s="7"/>
      <c r="F156" s="7"/>
      <c r="G156" s="7"/>
      <c r="J156" s="7"/>
      <c r="K156" s="7"/>
      <c r="L156" s="7"/>
      <c r="O156" s="7"/>
      <c r="P156" s="7"/>
      <c r="Q156" s="7"/>
      <c r="R156" s="7"/>
      <c r="S156" s="7"/>
    </row>
    <row r="157" ht="14.25" customHeight="1">
      <c r="E157" s="7"/>
      <c r="F157" s="7"/>
      <c r="G157" s="7"/>
      <c r="J157" s="7"/>
      <c r="K157" s="7"/>
      <c r="L157" s="7"/>
      <c r="O157" s="7"/>
      <c r="P157" s="7"/>
      <c r="Q157" s="7"/>
      <c r="R157" s="7"/>
      <c r="S157" s="7"/>
    </row>
    <row r="158" ht="14.25" customHeight="1">
      <c r="E158" s="7"/>
      <c r="F158" s="7"/>
      <c r="G158" s="7"/>
      <c r="J158" s="7"/>
      <c r="K158" s="7"/>
      <c r="L158" s="7"/>
      <c r="O158" s="7"/>
      <c r="P158" s="7"/>
      <c r="Q158" s="7"/>
      <c r="R158" s="7"/>
      <c r="S158" s="7"/>
    </row>
    <row r="159" ht="14.25" customHeight="1">
      <c r="E159" s="7"/>
      <c r="F159" s="7"/>
      <c r="G159" s="7"/>
      <c r="J159" s="7"/>
      <c r="K159" s="7"/>
      <c r="L159" s="7"/>
      <c r="O159" s="7"/>
      <c r="P159" s="7"/>
      <c r="Q159" s="7"/>
      <c r="R159" s="7"/>
      <c r="S159" s="7"/>
    </row>
    <row r="160" ht="14.25" customHeight="1">
      <c r="E160" s="7"/>
      <c r="F160" s="7"/>
      <c r="G160" s="7"/>
      <c r="J160" s="7"/>
      <c r="K160" s="7"/>
      <c r="L160" s="7"/>
      <c r="O160" s="7"/>
      <c r="P160" s="7"/>
      <c r="Q160" s="7"/>
      <c r="R160" s="7"/>
      <c r="S160" s="7"/>
    </row>
    <row r="161" ht="14.25" customHeight="1">
      <c r="E161" s="7"/>
      <c r="F161" s="7"/>
      <c r="G161" s="7"/>
      <c r="J161" s="7"/>
      <c r="K161" s="7"/>
      <c r="L161" s="7"/>
      <c r="O161" s="7"/>
      <c r="P161" s="7"/>
      <c r="Q161" s="7"/>
      <c r="R161" s="7"/>
      <c r="S161" s="7"/>
    </row>
    <row r="162" ht="14.25" customHeight="1">
      <c r="E162" s="7"/>
      <c r="F162" s="7"/>
      <c r="G162" s="7"/>
      <c r="J162" s="7"/>
      <c r="K162" s="7"/>
      <c r="L162" s="7"/>
      <c r="O162" s="7"/>
      <c r="P162" s="7"/>
      <c r="Q162" s="7"/>
      <c r="R162" s="7"/>
      <c r="S162" s="7"/>
    </row>
    <row r="163" ht="14.25" customHeight="1">
      <c r="E163" s="7"/>
      <c r="F163" s="7"/>
      <c r="G163" s="7"/>
      <c r="J163" s="7"/>
      <c r="K163" s="7"/>
      <c r="L163" s="7"/>
      <c r="O163" s="7"/>
      <c r="P163" s="7"/>
      <c r="Q163" s="7"/>
      <c r="R163" s="7"/>
      <c r="S163" s="7"/>
    </row>
    <row r="164" ht="14.25" customHeight="1">
      <c r="E164" s="7"/>
      <c r="F164" s="7"/>
      <c r="G164" s="7"/>
      <c r="J164" s="7"/>
      <c r="K164" s="7"/>
      <c r="L164" s="7"/>
      <c r="O164" s="7"/>
      <c r="P164" s="7"/>
      <c r="Q164" s="7"/>
      <c r="R164" s="7"/>
      <c r="S164" s="7"/>
    </row>
    <row r="165" ht="14.25" customHeight="1">
      <c r="E165" s="7"/>
      <c r="F165" s="7"/>
      <c r="G165" s="7"/>
      <c r="J165" s="7"/>
      <c r="K165" s="7"/>
      <c r="L165" s="7"/>
      <c r="O165" s="7"/>
      <c r="P165" s="7"/>
      <c r="Q165" s="7"/>
      <c r="R165" s="7"/>
      <c r="S165" s="7"/>
    </row>
    <row r="166" ht="14.25" customHeight="1">
      <c r="E166" s="7"/>
      <c r="F166" s="7"/>
      <c r="G166" s="7"/>
      <c r="J166" s="7"/>
      <c r="K166" s="7"/>
      <c r="L166" s="7"/>
      <c r="O166" s="7"/>
      <c r="P166" s="7"/>
      <c r="Q166" s="7"/>
      <c r="R166" s="7"/>
      <c r="S166" s="7"/>
    </row>
    <row r="167" ht="14.25" customHeight="1">
      <c r="E167" s="7"/>
      <c r="F167" s="7"/>
      <c r="G167" s="7"/>
      <c r="J167" s="7"/>
      <c r="K167" s="7"/>
      <c r="L167" s="7"/>
      <c r="O167" s="7"/>
      <c r="P167" s="7"/>
      <c r="Q167" s="7"/>
      <c r="R167" s="7"/>
      <c r="S167" s="7"/>
    </row>
    <row r="168" ht="14.25" customHeight="1">
      <c r="E168" s="7"/>
      <c r="F168" s="7"/>
      <c r="G168" s="7"/>
      <c r="J168" s="7"/>
      <c r="K168" s="7"/>
      <c r="L168" s="7"/>
      <c r="O168" s="7"/>
      <c r="P168" s="7"/>
      <c r="Q168" s="7"/>
      <c r="R168" s="7"/>
      <c r="S168" s="7"/>
    </row>
    <row r="169" ht="14.25" customHeight="1">
      <c r="E169" s="7"/>
      <c r="F169" s="7"/>
      <c r="G169" s="7"/>
      <c r="J169" s="7"/>
      <c r="K169" s="7"/>
      <c r="L169" s="7"/>
      <c r="O169" s="7"/>
      <c r="P169" s="7"/>
      <c r="Q169" s="7"/>
      <c r="R169" s="7"/>
      <c r="S169" s="7"/>
    </row>
    <row r="170" ht="14.25" customHeight="1">
      <c r="E170" s="7"/>
      <c r="F170" s="7"/>
      <c r="G170" s="7"/>
      <c r="J170" s="7"/>
      <c r="K170" s="7"/>
      <c r="L170" s="7"/>
      <c r="O170" s="7"/>
      <c r="P170" s="7"/>
      <c r="Q170" s="7"/>
      <c r="R170" s="7"/>
      <c r="S170" s="7"/>
    </row>
    <row r="171" ht="14.25" customHeight="1">
      <c r="E171" s="7"/>
      <c r="F171" s="7"/>
      <c r="G171" s="7"/>
      <c r="J171" s="7"/>
      <c r="K171" s="7"/>
      <c r="L171" s="7"/>
      <c r="O171" s="7"/>
      <c r="P171" s="7"/>
      <c r="Q171" s="7"/>
      <c r="R171" s="7"/>
      <c r="S171" s="7"/>
    </row>
    <row r="172" ht="14.25" customHeight="1">
      <c r="E172" s="7"/>
      <c r="F172" s="7"/>
      <c r="G172" s="7"/>
      <c r="J172" s="7"/>
      <c r="K172" s="7"/>
      <c r="L172" s="7"/>
      <c r="O172" s="7"/>
      <c r="P172" s="7"/>
      <c r="Q172" s="7"/>
      <c r="R172" s="7"/>
      <c r="S172" s="7"/>
    </row>
    <row r="173" ht="14.25" customHeight="1">
      <c r="E173" s="7"/>
      <c r="F173" s="7"/>
      <c r="G173" s="7"/>
      <c r="J173" s="7"/>
      <c r="K173" s="7"/>
      <c r="L173" s="7"/>
      <c r="O173" s="7"/>
      <c r="P173" s="7"/>
      <c r="Q173" s="7"/>
      <c r="R173" s="7"/>
      <c r="S173" s="7"/>
    </row>
    <row r="174" ht="14.25" customHeight="1">
      <c r="E174" s="7"/>
      <c r="F174" s="7"/>
      <c r="G174" s="7"/>
      <c r="J174" s="7"/>
      <c r="K174" s="7"/>
      <c r="L174" s="7"/>
      <c r="O174" s="7"/>
      <c r="P174" s="7"/>
      <c r="Q174" s="7"/>
      <c r="R174" s="7"/>
      <c r="S174" s="7"/>
    </row>
    <row r="175" ht="14.25" customHeight="1">
      <c r="E175" s="7"/>
      <c r="F175" s="7"/>
      <c r="G175" s="7"/>
      <c r="J175" s="7"/>
      <c r="K175" s="7"/>
      <c r="L175" s="7"/>
      <c r="O175" s="7"/>
      <c r="P175" s="7"/>
      <c r="Q175" s="7"/>
      <c r="R175" s="7"/>
      <c r="S175" s="7"/>
    </row>
    <row r="176" ht="14.25" customHeight="1">
      <c r="E176" s="7"/>
      <c r="F176" s="7"/>
      <c r="G176" s="7"/>
      <c r="J176" s="7"/>
      <c r="K176" s="7"/>
      <c r="L176" s="7"/>
      <c r="O176" s="7"/>
      <c r="P176" s="7"/>
      <c r="Q176" s="7"/>
      <c r="R176" s="7"/>
      <c r="S176" s="7"/>
    </row>
    <row r="177" ht="14.25" customHeight="1">
      <c r="E177" s="7"/>
      <c r="F177" s="7"/>
      <c r="G177" s="7"/>
      <c r="J177" s="7"/>
      <c r="K177" s="7"/>
      <c r="L177" s="7"/>
      <c r="O177" s="7"/>
      <c r="P177" s="7"/>
      <c r="Q177" s="7"/>
      <c r="R177" s="7"/>
      <c r="S177" s="7"/>
    </row>
    <row r="178" ht="14.25" customHeight="1">
      <c r="E178" s="7"/>
      <c r="F178" s="7"/>
      <c r="G178" s="7"/>
      <c r="J178" s="7"/>
      <c r="K178" s="7"/>
      <c r="L178" s="7"/>
      <c r="O178" s="7"/>
      <c r="P178" s="7"/>
      <c r="Q178" s="7"/>
      <c r="R178" s="7"/>
      <c r="S178" s="7"/>
    </row>
    <row r="179" ht="14.25" customHeight="1">
      <c r="E179" s="7"/>
      <c r="F179" s="7"/>
      <c r="G179" s="7"/>
      <c r="J179" s="7"/>
      <c r="K179" s="7"/>
      <c r="L179" s="7"/>
      <c r="O179" s="7"/>
      <c r="P179" s="7"/>
      <c r="Q179" s="7"/>
      <c r="R179" s="7"/>
      <c r="S179" s="7"/>
    </row>
    <row r="180" ht="14.25" customHeight="1">
      <c r="E180" s="7"/>
      <c r="F180" s="7"/>
      <c r="G180" s="7"/>
      <c r="J180" s="7"/>
      <c r="K180" s="7"/>
      <c r="L180" s="7"/>
      <c r="O180" s="7"/>
      <c r="P180" s="7"/>
      <c r="Q180" s="7"/>
      <c r="R180" s="7"/>
      <c r="S180" s="7"/>
    </row>
    <row r="181" ht="14.25" customHeight="1">
      <c r="E181" s="7"/>
      <c r="F181" s="7"/>
      <c r="G181" s="7"/>
      <c r="J181" s="7"/>
      <c r="K181" s="7"/>
      <c r="L181" s="7"/>
      <c r="O181" s="7"/>
      <c r="P181" s="7"/>
      <c r="Q181" s="7"/>
      <c r="R181" s="7"/>
      <c r="S181" s="7"/>
    </row>
    <row r="182" ht="14.25" customHeight="1">
      <c r="E182" s="7"/>
      <c r="F182" s="7"/>
      <c r="G182" s="7"/>
      <c r="J182" s="7"/>
      <c r="K182" s="7"/>
      <c r="L182" s="7"/>
      <c r="O182" s="7"/>
      <c r="P182" s="7"/>
      <c r="Q182" s="7"/>
      <c r="R182" s="7"/>
      <c r="S182" s="7"/>
    </row>
    <row r="183" ht="14.25" customHeight="1">
      <c r="E183" s="7"/>
      <c r="F183" s="7"/>
      <c r="G183" s="7"/>
      <c r="J183" s="7"/>
      <c r="K183" s="7"/>
      <c r="L183" s="7"/>
      <c r="O183" s="7"/>
      <c r="P183" s="7"/>
      <c r="Q183" s="7"/>
      <c r="R183" s="7"/>
      <c r="S183" s="7"/>
    </row>
    <row r="184" ht="14.25" customHeight="1">
      <c r="E184" s="7"/>
      <c r="F184" s="7"/>
      <c r="G184" s="7"/>
      <c r="J184" s="7"/>
      <c r="K184" s="7"/>
      <c r="L184" s="7"/>
      <c r="O184" s="7"/>
      <c r="P184" s="7"/>
      <c r="Q184" s="7"/>
      <c r="R184" s="7"/>
      <c r="S184" s="7"/>
    </row>
    <row r="185" ht="14.25" customHeight="1">
      <c r="E185" s="7"/>
      <c r="F185" s="7"/>
      <c r="G185" s="7"/>
      <c r="J185" s="7"/>
      <c r="K185" s="7"/>
      <c r="L185" s="7"/>
      <c r="O185" s="7"/>
      <c r="P185" s="7"/>
      <c r="Q185" s="7"/>
      <c r="R185" s="7"/>
      <c r="S185" s="7"/>
    </row>
    <row r="186" ht="14.25" customHeight="1">
      <c r="E186" s="7"/>
      <c r="F186" s="7"/>
      <c r="G186" s="7"/>
      <c r="J186" s="7"/>
      <c r="K186" s="7"/>
      <c r="L186" s="7"/>
      <c r="O186" s="7"/>
      <c r="P186" s="7"/>
      <c r="Q186" s="7"/>
      <c r="R186" s="7"/>
      <c r="S186" s="7"/>
    </row>
    <row r="187" ht="14.25" customHeight="1">
      <c r="E187" s="7"/>
      <c r="F187" s="7"/>
      <c r="G187" s="7"/>
      <c r="J187" s="7"/>
      <c r="K187" s="7"/>
      <c r="L187" s="7"/>
      <c r="O187" s="7"/>
      <c r="P187" s="7"/>
      <c r="Q187" s="7"/>
      <c r="R187" s="7"/>
      <c r="S187" s="7"/>
    </row>
    <row r="188" ht="14.25" customHeight="1">
      <c r="E188" s="7"/>
      <c r="F188" s="7"/>
      <c r="G188" s="7"/>
      <c r="J188" s="7"/>
      <c r="K188" s="7"/>
      <c r="L188" s="7"/>
      <c r="O188" s="7"/>
      <c r="P188" s="7"/>
      <c r="Q188" s="7"/>
      <c r="R188" s="7"/>
      <c r="S188" s="7"/>
    </row>
    <row r="189" ht="14.25" customHeight="1">
      <c r="E189" s="7"/>
      <c r="F189" s="7"/>
      <c r="G189" s="7"/>
      <c r="J189" s="7"/>
      <c r="K189" s="7"/>
      <c r="L189" s="7"/>
      <c r="O189" s="7"/>
      <c r="P189" s="7"/>
      <c r="Q189" s="7"/>
      <c r="R189" s="7"/>
      <c r="S189" s="7"/>
    </row>
    <row r="190" ht="14.25" customHeight="1">
      <c r="E190" s="7"/>
      <c r="F190" s="7"/>
      <c r="G190" s="7"/>
      <c r="J190" s="7"/>
      <c r="K190" s="7"/>
      <c r="L190" s="7"/>
      <c r="O190" s="7"/>
      <c r="P190" s="7"/>
      <c r="Q190" s="7"/>
      <c r="R190" s="7"/>
      <c r="S190" s="7"/>
    </row>
    <row r="191" ht="14.25" customHeight="1">
      <c r="E191" s="7"/>
      <c r="F191" s="7"/>
      <c r="G191" s="7"/>
      <c r="J191" s="7"/>
      <c r="K191" s="7"/>
      <c r="L191" s="7"/>
      <c r="O191" s="7"/>
      <c r="P191" s="7"/>
      <c r="Q191" s="7"/>
      <c r="R191" s="7"/>
      <c r="S191" s="7"/>
    </row>
    <row r="192" ht="14.25" customHeight="1">
      <c r="E192" s="7"/>
      <c r="F192" s="7"/>
      <c r="G192" s="7"/>
      <c r="J192" s="7"/>
      <c r="K192" s="7"/>
      <c r="L192" s="7"/>
      <c r="O192" s="7"/>
      <c r="P192" s="7"/>
      <c r="Q192" s="7"/>
      <c r="R192" s="7"/>
      <c r="S192" s="7"/>
    </row>
    <row r="193" ht="14.25" customHeight="1">
      <c r="E193" s="7"/>
      <c r="F193" s="7"/>
      <c r="G193" s="7"/>
      <c r="J193" s="7"/>
      <c r="K193" s="7"/>
      <c r="L193" s="7"/>
      <c r="O193" s="7"/>
      <c r="P193" s="7"/>
      <c r="Q193" s="7"/>
      <c r="R193" s="7"/>
      <c r="S193" s="7"/>
    </row>
    <row r="194" ht="14.25" customHeight="1">
      <c r="E194" s="7"/>
      <c r="F194" s="7"/>
      <c r="G194" s="7"/>
      <c r="J194" s="7"/>
      <c r="K194" s="7"/>
      <c r="L194" s="7"/>
      <c r="O194" s="7"/>
      <c r="P194" s="7"/>
      <c r="Q194" s="7"/>
      <c r="R194" s="7"/>
      <c r="S194" s="7"/>
    </row>
    <row r="195" ht="14.25" customHeight="1">
      <c r="E195" s="7"/>
      <c r="F195" s="7"/>
      <c r="G195" s="7"/>
      <c r="J195" s="7"/>
      <c r="K195" s="7"/>
      <c r="L195" s="7"/>
      <c r="O195" s="7"/>
      <c r="P195" s="7"/>
      <c r="Q195" s="7"/>
      <c r="R195" s="7"/>
      <c r="S195" s="7"/>
    </row>
    <row r="196" ht="14.25" customHeight="1">
      <c r="E196" s="7"/>
      <c r="F196" s="7"/>
      <c r="G196" s="7"/>
      <c r="J196" s="7"/>
      <c r="K196" s="7"/>
      <c r="L196" s="7"/>
      <c r="O196" s="7"/>
      <c r="P196" s="7"/>
      <c r="Q196" s="7"/>
      <c r="R196" s="7"/>
      <c r="S196" s="7"/>
    </row>
    <row r="197" ht="14.25" customHeight="1">
      <c r="E197" s="7"/>
      <c r="F197" s="7"/>
      <c r="G197" s="7"/>
      <c r="J197" s="7"/>
      <c r="K197" s="7"/>
      <c r="L197" s="7"/>
      <c r="O197" s="7"/>
      <c r="P197" s="7"/>
      <c r="Q197" s="7"/>
      <c r="R197" s="7"/>
      <c r="S197" s="7"/>
    </row>
    <row r="198" ht="14.25" customHeight="1">
      <c r="E198" s="7"/>
      <c r="F198" s="7"/>
      <c r="G198" s="7"/>
      <c r="J198" s="7"/>
      <c r="K198" s="7"/>
      <c r="L198" s="7"/>
      <c r="O198" s="7"/>
      <c r="P198" s="7"/>
      <c r="Q198" s="7"/>
      <c r="R198" s="7"/>
      <c r="S198" s="7"/>
    </row>
    <row r="199" ht="14.25" customHeight="1">
      <c r="E199" s="7"/>
      <c r="F199" s="7"/>
      <c r="G199" s="7"/>
      <c r="J199" s="7"/>
      <c r="K199" s="7"/>
      <c r="L199" s="7"/>
      <c r="O199" s="7"/>
      <c r="P199" s="7"/>
      <c r="Q199" s="7"/>
      <c r="R199" s="7"/>
      <c r="S199" s="7"/>
    </row>
    <row r="200" ht="14.25" customHeight="1">
      <c r="E200" s="7"/>
      <c r="F200" s="7"/>
      <c r="G200" s="7"/>
      <c r="J200" s="7"/>
      <c r="K200" s="7"/>
      <c r="L200" s="7"/>
      <c r="O200" s="7"/>
      <c r="P200" s="7"/>
      <c r="Q200" s="7"/>
      <c r="R200" s="7"/>
      <c r="S200" s="7"/>
    </row>
    <row r="201" ht="14.25" customHeight="1">
      <c r="E201" s="7"/>
      <c r="F201" s="7"/>
      <c r="G201" s="7"/>
      <c r="J201" s="7"/>
      <c r="K201" s="7"/>
      <c r="L201" s="7"/>
      <c r="O201" s="7"/>
      <c r="P201" s="7"/>
      <c r="Q201" s="7"/>
      <c r="R201" s="7"/>
      <c r="S201" s="7"/>
    </row>
    <row r="202" ht="14.25" customHeight="1">
      <c r="E202" s="7"/>
      <c r="F202" s="7"/>
      <c r="G202" s="7"/>
      <c r="J202" s="7"/>
      <c r="K202" s="7"/>
      <c r="L202" s="7"/>
      <c r="O202" s="7"/>
      <c r="P202" s="7"/>
      <c r="Q202" s="7"/>
      <c r="R202" s="7"/>
      <c r="S202" s="7"/>
    </row>
    <row r="203" ht="14.25" customHeight="1">
      <c r="E203" s="7"/>
      <c r="F203" s="7"/>
      <c r="G203" s="7"/>
      <c r="J203" s="7"/>
      <c r="K203" s="7"/>
      <c r="L203" s="7"/>
      <c r="O203" s="7"/>
      <c r="P203" s="7"/>
      <c r="Q203" s="7"/>
      <c r="R203" s="7"/>
      <c r="S203" s="7"/>
    </row>
    <row r="204" ht="14.25" customHeight="1">
      <c r="E204" s="7"/>
      <c r="F204" s="7"/>
      <c r="G204" s="7"/>
      <c r="J204" s="7"/>
      <c r="K204" s="7"/>
      <c r="L204" s="7"/>
      <c r="O204" s="7"/>
      <c r="P204" s="7"/>
      <c r="Q204" s="7"/>
      <c r="R204" s="7"/>
      <c r="S204" s="7"/>
    </row>
    <row r="205" ht="14.25" customHeight="1">
      <c r="E205" s="7"/>
      <c r="F205" s="7"/>
      <c r="G205" s="7"/>
      <c r="J205" s="7"/>
      <c r="K205" s="7"/>
      <c r="L205" s="7"/>
      <c r="O205" s="7"/>
      <c r="P205" s="7"/>
      <c r="Q205" s="7"/>
      <c r="R205" s="7"/>
      <c r="S205" s="7"/>
    </row>
    <row r="206" ht="14.25" customHeight="1">
      <c r="E206" s="7"/>
      <c r="F206" s="7"/>
      <c r="G206" s="7"/>
      <c r="J206" s="7"/>
      <c r="K206" s="7"/>
      <c r="L206" s="7"/>
      <c r="O206" s="7"/>
      <c r="P206" s="7"/>
      <c r="Q206" s="7"/>
      <c r="R206" s="7"/>
      <c r="S206" s="7"/>
    </row>
    <row r="207" ht="14.25" customHeight="1">
      <c r="E207" s="7"/>
      <c r="F207" s="7"/>
      <c r="G207" s="7"/>
      <c r="J207" s="7"/>
      <c r="K207" s="7"/>
      <c r="L207" s="7"/>
      <c r="O207" s="7"/>
      <c r="P207" s="7"/>
      <c r="Q207" s="7"/>
      <c r="R207" s="7"/>
      <c r="S207" s="7"/>
    </row>
    <row r="208" ht="14.25" customHeight="1">
      <c r="E208" s="7"/>
      <c r="F208" s="7"/>
      <c r="G208" s="7"/>
      <c r="J208" s="7"/>
      <c r="K208" s="7"/>
      <c r="L208" s="7"/>
      <c r="O208" s="7"/>
      <c r="P208" s="7"/>
      <c r="Q208" s="7"/>
      <c r="R208" s="7"/>
      <c r="S208" s="7"/>
    </row>
    <row r="209" ht="14.25" customHeight="1">
      <c r="E209" s="7"/>
      <c r="F209" s="7"/>
      <c r="G209" s="7"/>
      <c r="J209" s="7"/>
      <c r="K209" s="7"/>
      <c r="L209" s="7"/>
      <c r="O209" s="7"/>
      <c r="P209" s="7"/>
      <c r="Q209" s="7"/>
      <c r="R209" s="7"/>
      <c r="S209" s="7"/>
    </row>
    <row r="210" ht="14.25" customHeight="1">
      <c r="E210" s="7"/>
      <c r="F210" s="7"/>
      <c r="G210" s="7"/>
      <c r="J210" s="7"/>
      <c r="K210" s="7"/>
      <c r="L210" s="7"/>
      <c r="O210" s="7"/>
      <c r="P210" s="7"/>
      <c r="Q210" s="7"/>
      <c r="R210" s="7"/>
      <c r="S210" s="7"/>
    </row>
    <row r="211" ht="14.25" customHeight="1">
      <c r="E211" s="7"/>
      <c r="F211" s="7"/>
      <c r="G211" s="7"/>
      <c r="J211" s="7"/>
      <c r="K211" s="7"/>
      <c r="L211" s="7"/>
      <c r="O211" s="7"/>
      <c r="P211" s="7"/>
      <c r="Q211" s="7"/>
      <c r="R211" s="7"/>
      <c r="S211" s="7"/>
    </row>
    <row r="212" ht="14.25" customHeight="1">
      <c r="E212" s="7"/>
      <c r="F212" s="7"/>
      <c r="G212" s="7"/>
      <c r="J212" s="7"/>
      <c r="K212" s="7"/>
      <c r="L212" s="7"/>
      <c r="O212" s="7"/>
      <c r="P212" s="7"/>
      <c r="Q212" s="7"/>
      <c r="R212" s="7"/>
      <c r="S212" s="7"/>
    </row>
    <row r="213" ht="14.25" customHeight="1">
      <c r="E213" s="7"/>
      <c r="F213" s="7"/>
      <c r="G213" s="7"/>
      <c r="J213" s="7"/>
      <c r="K213" s="7"/>
      <c r="L213" s="7"/>
      <c r="O213" s="7"/>
      <c r="P213" s="7"/>
      <c r="Q213" s="7"/>
      <c r="R213" s="7"/>
      <c r="S213" s="7"/>
    </row>
    <row r="214" ht="14.25" customHeight="1">
      <c r="E214" s="7"/>
      <c r="F214" s="7"/>
      <c r="G214" s="7"/>
      <c r="J214" s="7"/>
      <c r="K214" s="7"/>
      <c r="L214" s="7"/>
      <c r="O214" s="7"/>
      <c r="P214" s="7"/>
      <c r="Q214" s="7"/>
      <c r="R214" s="7"/>
      <c r="S214" s="7"/>
    </row>
    <row r="215" ht="14.25" customHeight="1">
      <c r="E215" s="7"/>
      <c r="F215" s="7"/>
      <c r="G215" s="7"/>
      <c r="J215" s="7"/>
      <c r="K215" s="7"/>
      <c r="L215" s="7"/>
      <c r="O215" s="7"/>
      <c r="P215" s="7"/>
      <c r="Q215" s="7"/>
      <c r="R215" s="7"/>
      <c r="S215" s="7"/>
    </row>
    <row r="216" ht="14.25" customHeight="1">
      <c r="E216" s="7"/>
      <c r="F216" s="7"/>
      <c r="G216" s="7"/>
      <c r="J216" s="7"/>
      <c r="K216" s="7"/>
      <c r="L216" s="7"/>
      <c r="O216" s="7"/>
      <c r="P216" s="7"/>
      <c r="Q216" s="7"/>
      <c r="R216" s="7"/>
      <c r="S216" s="7"/>
    </row>
    <row r="217" ht="14.25" customHeight="1">
      <c r="E217" s="7"/>
      <c r="F217" s="7"/>
      <c r="G217" s="7"/>
      <c r="J217" s="7"/>
      <c r="K217" s="7"/>
      <c r="L217" s="7"/>
      <c r="O217" s="7"/>
      <c r="P217" s="7"/>
      <c r="Q217" s="7"/>
      <c r="R217" s="7"/>
      <c r="S217" s="7"/>
    </row>
    <row r="218" ht="14.25" customHeight="1">
      <c r="E218" s="7"/>
      <c r="F218" s="7"/>
      <c r="G218" s="7"/>
      <c r="J218" s="7"/>
      <c r="K218" s="7"/>
      <c r="L218" s="7"/>
      <c r="O218" s="7"/>
      <c r="P218" s="7"/>
      <c r="Q218" s="7"/>
      <c r="R218" s="7"/>
      <c r="S218" s="7"/>
    </row>
    <row r="219" ht="14.25" customHeight="1">
      <c r="E219" s="7"/>
      <c r="F219" s="7"/>
      <c r="G219" s="7"/>
      <c r="J219" s="7"/>
      <c r="K219" s="7"/>
      <c r="L219" s="7"/>
      <c r="O219" s="7"/>
      <c r="P219" s="7"/>
      <c r="Q219" s="7"/>
      <c r="R219" s="7"/>
      <c r="S219" s="7"/>
    </row>
    <row r="220" ht="14.25" customHeight="1">
      <c r="E220" s="7"/>
      <c r="F220" s="7"/>
      <c r="G220" s="7"/>
      <c r="J220" s="7"/>
      <c r="K220" s="7"/>
      <c r="L220" s="7"/>
      <c r="O220" s="7"/>
      <c r="P220" s="7"/>
      <c r="Q220" s="7"/>
      <c r="R220" s="7"/>
      <c r="S220" s="7"/>
    </row>
    <row r="221" ht="14.25" customHeight="1">
      <c r="E221" s="7"/>
      <c r="F221" s="7"/>
      <c r="G221" s="7"/>
      <c r="J221" s="7"/>
      <c r="K221" s="7"/>
      <c r="L221" s="7"/>
      <c r="O221" s="7"/>
      <c r="P221" s="7"/>
      <c r="Q221" s="7"/>
      <c r="R221" s="7"/>
      <c r="S221" s="7"/>
    </row>
    <row r="222" ht="14.25" customHeight="1">
      <c r="E222" s="7"/>
      <c r="F222" s="7"/>
      <c r="G222" s="7"/>
      <c r="J222" s="7"/>
      <c r="K222" s="7"/>
      <c r="L222" s="7"/>
      <c r="O222" s="7"/>
      <c r="P222" s="7"/>
      <c r="Q222" s="7"/>
      <c r="R222" s="7"/>
      <c r="S222" s="7"/>
    </row>
    <row r="223" ht="14.25" customHeight="1">
      <c r="E223" s="7"/>
      <c r="F223" s="7"/>
      <c r="G223" s="7"/>
      <c r="J223" s="7"/>
      <c r="K223" s="7"/>
      <c r="L223" s="7"/>
      <c r="O223" s="7"/>
      <c r="P223" s="7"/>
      <c r="Q223" s="7"/>
      <c r="R223" s="7"/>
      <c r="S223" s="7"/>
    </row>
    <row r="224" ht="14.25" customHeight="1">
      <c r="E224" s="7"/>
      <c r="F224" s="7"/>
      <c r="G224" s="7"/>
      <c r="J224" s="7"/>
      <c r="K224" s="7"/>
      <c r="L224" s="7"/>
      <c r="O224" s="7"/>
      <c r="P224" s="7"/>
      <c r="Q224" s="7"/>
      <c r="R224" s="7"/>
      <c r="S224" s="7"/>
    </row>
    <row r="225" ht="14.25" customHeight="1">
      <c r="E225" s="7"/>
      <c r="F225" s="7"/>
      <c r="G225" s="7"/>
      <c r="J225" s="7"/>
      <c r="K225" s="7"/>
      <c r="L225" s="7"/>
      <c r="O225" s="7"/>
      <c r="P225" s="7"/>
      <c r="Q225" s="7"/>
      <c r="R225" s="7"/>
      <c r="S225" s="7"/>
    </row>
    <row r="226" ht="14.25" customHeight="1">
      <c r="E226" s="7"/>
      <c r="F226" s="7"/>
      <c r="G226" s="7"/>
      <c r="J226" s="7"/>
      <c r="K226" s="7"/>
      <c r="L226" s="7"/>
      <c r="O226" s="7"/>
      <c r="P226" s="7"/>
      <c r="Q226" s="7"/>
      <c r="R226" s="7"/>
      <c r="S226" s="7"/>
    </row>
    <row r="227" ht="14.25" customHeight="1">
      <c r="E227" s="7"/>
      <c r="F227" s="7"/>
      <c r="G227" s="7"/>
      <c r="J227" s="7"/>
      <c r="K227" s="7"/>
      <c r="L227" s="7"/>
      <c r="O227" s="7"/>
      <c r="P227" s="7"/>
      <c r="Q227" s="7"/>
      <c r="R227" s="7"/>
      <c r="S227" s="7"/>
    </row>
    <row r="228" ht="14.25" customHeight="1">
      <c r="E228" s="7"/>
      <c r="F228" s="7"/>
      <c r="G228" s="7"/>
      <c r="J228" s="7"/>
      <c r="K228" s="7"/>
      <c r="L228" s="7"/>
      <c r="O228" s="7"/>
      <c r="P228" s="7"/>
      <c r="Q228" s="7"/>
      <c r="R228" s="7"/>
      <c r="S228" s="7"/>
    </row>
    <row r="229" ht="14.25" customHeight="1">
      <c r="E229" s="7"/>
      <c r="F229" s="7"/>
      <c r="G229" s="7"/>
      <c r="J229" s="7"/>
      <c r="K229" s="7"/>
      <c r="L229" s="7"/>
      <c r="O229" s="7"/>
      <c r="P229" s="7"/>
      <c r="Q229" s="7"/>
      <c r="R229" s="7"/>
      <c r="S229" s="7"/>
    </row>
    <row r="230" ht="14.25" customHeight="1">
      <c r="E230" s="7"/>
      <c r="F230" s="7"/>
      <c r="G230" s="7"/>
      <c r="J230" s="7"/>
      <c r="K230" s="7"/>
      <c r="L230" s="7"/>
      <c r="O230" s="7"/>
      <c r="P230" s="7"/>
      <c r="Q230" s="7"/>
      <c r="R230" s="7"/>
      <c r="S230" s="7"/>
    </row>
    <row r="231" ht="14.25" customHeight="1">
      <c r="E231" s="7"/>
      <c r="F231" s="7"/>
      <c r="G231" s="7"/>
      <c r="J231" s="7"/>
      <c r="K231" s="7"/>
      <c r="L231" s="7"/>
      <c r="O231" s="7"/>
      <c r="P231" s="7"/>
      <c r="Q231" s="7"/>
      <c r="R231" s="7"/>
      <c r="S231" s="7"/>
    </row>
    <row r="232" ht="14.25" customHeight="1">
      <c r="E232" s="7"/>
      <c r="F232" s="7"/>
      <c r="G232" s="7"/>
      <c r="J232" s="7"/>
      <c r="K232" s="7"/>
      <c r="L232" s="7"/>
      <c r="O232" s="7"/>
      <c r="P232" s="7"/>
      <c r="Q232" s="7"/>
      <c r="R232" s="7"/>
      <c r="S232" s="7"/>
    </row>
    <row r="233" ht="14.25" customHeight="1">
      <c r="E233" s="7"/>
      <c r="F233" s="7"/>
      <c r="G233" s="7"/>
      <c r="J233" s="7"/>
      <c r="K233" s="7"/>
      <c r="L233" s="7"/>
      <c r="O233" s="7"/>
      <c r="P233" s="7"/>
      <c r="Q233" s="7"/>
      <c r="R233" s="7"/>
      <c r="S233" s="7"/>
    </row>
    <row r="234" ht="14.25" customHeight="1">
      <c r="E234" s="7"/>
      <c r="F234" s="7"/>
      <c r="G234" s="7"/>
      <c r="J234" s="7"/>
      <c r="K234" s="7"/>
      <c r="L234" s="7"/>
      <c r="O234" s="7"/>
      <c r="P234" s="7"/>
      <c r="Q234" s="7"/>
      <c r="R234" s="7"/>
      <c r="S234" s="7"/>
    </row>
    <row r="235" ht="14.25" customHeight="1">
      <c r="E235" s="7"/>
      <c r="F235" s="7"/>
      <c r="G235" s="7"/>
      <c r="J235" s="7"/>
      <c r="K235" s="7"/>
      <c r="L235" s="7"/>
      <c r="O235" s="7"/>
      <c r="P235" s="7"/>
      <c r="Q235" s="7"/>
      <c r="R235" s="7"/>
      <c r="S235" s="7"/>
    </row>
    <row r="236" ht="14.25" customHeight="1">
      <c r="E236" s="7"/>
      <c r="F236" s="7"/>
      <c r="G236" s="7"/>
      <c r="J236" s="7"/>
      <c r="K236" s="7"/>
      <c r="L236" s="7"/>
      <c r="O236" s="7"/>
      <c r="P236" s="7"/>
      <c r="Q236" s="7"/>
      <c r="R236" s="7"/>
      <c r="S236" s="7"/>
    </row>
    <row r="237" ht="14.25" customHeight="1">
      <c r="E237" s="7"/>
      <c r="F237" s="7"/>
      <c r="G237" s="7"/>
      <c r="J237" s="7"/>
      <c r="K237" s="7"/>
      <c r="L237" s="7"/>
      <c r="O237" s="7"/>
      <c r="P237" s="7"/>
      <c r="Q237" s="7"/>
      <c r="R237" s="7"/>
      <c r="S237" s="7"/>
    </row>
    <row r="238" ht="14.25" customHeight="1">
      <c r="E238" s="7"/>
      <c r="F238" s="7"/>
      <c r="G238" s="7"/>
      <c r="J238" s="7"/>
      <c r="K238" s="7"/>
      <c r="L238" s="7"/>
      <c r="O238" s="7"/>
      <c r="P238" s="7"/>
      <c r="Q238" s="7"/>
      <c r="R238" s="7"/>
      <c r="S238" s="7"/>
    </row>
    <row r="239" ht="14.25" customHeight="1">
      <c r="E239" s="7"/>
      <c r="F239" s="7"/>
      <c r="G239" s="7"/>
      <c r="J239" s="7"/>
      <c r="K239" s="7"/>
      <c r="L239" s="7"/>
      <c r="O239" s="7"/>
      <c r="P239" s="7"/>
      <c r="Q239" s="7"/>
      <c r="R239" s="7"/>
      <c r="S239" s="7"/>
    </row>
    <row r="240" ht="14.25" customHeight="1">
      <c r="E240" s="7"/>
      <c r="F240" s="7"/>
      <c r="G240" s="7"/>
      <c r="J240" s="7"/>
      <c r="K240" s="7"/>
      <c r="L240" s="7"/>
      <c r="O240" s="7"/>
      <c r="P240" s="7"/>
      <c r="Q240" s="7"/>
      <c r="R240" s="7"/>
      <c r="S240" s="7"/>
    </row>
    <row r="241" ht="14.25" customHeight="1">
      <c r="E241" s="7"/>
      <c r="F241" s="7"/>
      <c r="G241" s="7"/>
      <c r="J241" s="7"/>
      <c r="K241" s="7"/>
      <c r="L241" s="7"/>
      <c r="O241" s="7"/>
      <c r="P241" s="7"/>
      <c r="Q241" s="7"/>
      <c r="R241" s="7"/>
      <c r="S241" s="7"/>
    </row>
    <row r="242" ht="14.25" customHeight="1">
      <c r="E242" s="7"/>
      <c r="F242" s="7"/>
      <c r="G242" s="7"/>
      <c r="J242" s="7"/>
      <c r="K242" s="7"/>
      <c r="L242" s="7"/>
      <c r="O242" s="7"/>
      <c r="P242" s="7"/>
      <c r="Q242" s="7"/>
      <c r="R242" s="7"/>
      <c r="S242" s="7"/>
    </row>
    <row r="243" ht="14.25" customHeight="1">
      <c r="E243" s="7"/>
      <c r="F243" s="7"/>
      <c r="G243" s="7"/>
      <c r="J243" s="7"/>
      <c r="K243" s="7"/>
      <c r="L243" s="7"/>
      <c r="O243" s="7"/>
      <c r="P243" s="7"/>
      <c r="Q243" s="7"/>
      <c r="R243" s="7"/>
      <c r="S243" s="7"/>
    </row>
    <row r="244" ht="14.25" customHeight="1">
      <c r="E244" s="7"/>
      <c r="F244" s="7"/>
      <c r="G244" s="7"/>
      <c r="J244" s="7"/>
      <c r="K244" s="7"/>
      <c r="L244" s="7"/>
      <c r="O244" s="7"/>
      <c r="P244" s="7"/>
      <c r="Q244" s="7"/>
      <c r="R244" s="7"/>
      <c r="S244" s="7"/>
    </row>
    <row r="245" ht="14.25" customHeight="1">
      <c r="E245" s="7"/>
      <c r="F245" s="7"/>
      <c r="G245" s="7"/>
      <c r="J245" s="7"/>
      <c r="K245" s="7"/>
      <c r="L245" s="7"/>
      <c r="O245" s="7"/>
      <c r="P245" s="7"/>
      <c r="Q245" s="7"/>
      <c r="R245" s="7"/>
      <c r="S245" s="7"/>
    </row>
    <row r="246" ht="14.25" customHeight="1">
      <c r="E246" s="7"/>
      <c r="F246" s="7"/>
      <c r="G246" s="7"/>
      <c r="J246" s="7"/>
      <c r="K246" s="7"/>
      <c r="L246" s="7"/>
      <c r="O246" s="7"/>
      <c r="P246" s="7"/>
      <c r="Q246" s="7"/>
      <c r="R246" s="7"/>
      <c r="S246" s="7"/>
    </row>
    <row r="247" ht="14.25" customHeight="1">
      <c r="E247" s="7"/>
      <c r="F247" s="7"/>
      <c r="G247" s="7"/>
      <c r="J247" s="7"/>
      <c r="K247" s="7"/>
      <c r="L247" s="7"/>
      <c r="O247" s="7"/>
      <c r="P247" s="7"/>
      <c r="Q247" s="7"/>
      <c r="R247" s="7"/>
      <c r="S247" s="7"/>
    </row>
    <row r="248" ht="14.25" customHeight="1">
      <c r="E248" s="7"/>
      <c r="F248" s="7"/>
      <c r="G248" s="7"/>
      <c r="J248" s="7"/>
      <c r="K248" s="7"/>
      <c r="L248" s="7"/>
      <c r="O248" s="7"/>
      <c r="P248" s="7"/>
      <c r="Q248" s="7"/>
      <c r="R248" s="7"/>
      <c r="S248" s="7"/>
    </row>
    <row r="249" ht="14.25" customHeight="1">
      <c r="E249" s="7"/>
      <c r="F249" s="7"/>
      <c r="G249" s="7"/>
      <c r="J249" s="7"/>
      <c r="K249" s="7"/>
      <c r="L249" s="7"/>
      <c r="O249" s="7"/>
      <c r="P249" s="7"/>
      <c r="Q249" s="7"/>
      <c r="R249" s="7"/>
      <c r="S249" s="7"/>
    </row>
    <row r="250" ht="14.25" customHeight="1">
      <c r="E250" s="7"/>
      <c r="F250" s="7"/>
      <c r="G250" s="7"/>
      <c r="J250" s="7"/>
      <c r="K250" s="7"/>
      <c r="L250" s="7"/>
      <c r="O250" s="7"/>
      <c r="P250" s="7"/>
      <c r="Q250" s="7"/>
      <c r="R250" s="7"/>
      <c r="S250" s="7"/>
    </row>
    <row r="251" ht="14.25" customHeight="1">
      <c r="E251" s="7"/>
      <c r="F251" s="7"/>
      <c r="G251" s="7"/>
      <c r="J251" s="7"/>
      <c r="K251" s="7"/>
      <c r="L251" s="7"/>
      <c r="O251" s="7"/>
      <c r="P251" s="7"/>
      <c r="Q251" s="7"/>
      <c r="R251" s="7"/>
      <c r="S251" s="7"/>
    </row>
    <row r="252" ht="14.25" customHeight="1">
      <c r="E252" s="7"/>
      <c r="F252" s="7"/>
      <c r="G252" s="7"/>
      <c r="J252" s="7"/>
      <c r="K252" s="7"/>
      <c r="L252" s="7"/>
      <c r="O252" s="7"/>
      <c r="P252" s="7"/>
      <c r="Q252" s="7"/>
      <c r="R252" s="7"/>
      <c r="S252" s="7"/>
    </row>
    <row r="253" ht="14.25" customHeight="1">
      <c r="E253" s="7"/>
      <c r="F253" s="7"/>
      <c r="G253" s="7"/>
      <c r="J253" s="7"/>
      <c r="K253" s="7"/>
      <c r="L253" s="7"/>
      <c r="O253" s="7"/>
      <c r="P253" s="7"/>
      <c r="Q253" s="7"/>
      <c r="R253" s="7"/>
      <c r="S253" s="7"/>
    </row>
    <row r="254" ht="14.25" customHeight="1">
      <c r="E254" s="7"/>
      <c r="F254" s="7"/>
      <c r="G254" s="7"/>
      <c r="J254" s="7"/>
      <c r="K254" s="7"/>
      <c r="L254" s="7"/>
      <c r="O254" s="7"/>
      <c r="P254" s="7"/>
      <c r="Q254" s="7"/>
      <c r="R254" s="7"/>
      <c r="S254" s="7"/>
    </row>
    <row r="255" ht="14.25" customHeight="1">
      <c r="E255" s="7"/>
      <c r="F255" s="7"/>
      <c r="G255" s="7"/>
      <c r="J255" s="7"/>
      <c r="K255" s="7"/>
      <c r="L255" s="7"/>
      <c r="O255" s="7"/>
      <c r="P255" s="7"/>
      <c r="Q255" s="7"/>
      <c r="R255" s="7"/>
      <c r="S255" s="7"/>
    </row>
    <row r="256" ht="14.25" customHeight="1">
      <c r="E256" s="7"/>
      <c r="F256" s="7"/>
      <c r="G256" s="7"/>
      <c r="J256" s="7"/>
      <c r="K256" s="7"/>
      <c r="L256" s="7"/>
      <c r="O256" s="7"/>
      <c r="P256" s="7"/>
      <c r="Q256" s="7"/>
      <c r="R256" s="7"/>
      <c r="S256" s="7"/>
    </row>
    <row r="257" ht="14.25" customHeight="1">
      <c r="E257" s="7"/>
      <c r="F257" s="7"/>
      <c r="G257" s="7"/>
      <c r="J257" s="7"/>
      <c r="K257" s="7"/>
      <c r="L257" s="7"/>
      <c r="O257" s="7"/>
      <c r="P257" s="7"/>
      <c r="Q257" s="7"/>
      <c r="R257" s="7"/>
      <c r="S257" s="7"/>
    </row>
    <row r="258" ht="14.25" customHeight="1">
      <c r="E258" s="7"/>
      <c r="F258" s="7"/>
      <c r="G258" s="7"/>
      <c r="J258" s="7"/>
      <c r="K258" s="7"/>
      <c r="L258" s="7"/>
      <c r="O258" s="7"/>
      <c r="P258" s="7"/>
      <c r="Q258" s="7"/>
      <c r="R258" s="7"/>
      <c r="S258" s="7"/>
    </row>
    <row r="259" ht="14.25" customHeight="1">
      <c r="E259" s="7"/>
      <c r="F259" s="7"/>
      <c r="G259" s="7"/>
      <c r="J259" s="7"/>
      <c r="K259" s="7"/>
      <c r="L259" s="7"/>
      <c r="O259" s="7"/>
      <c r="P259" s="7"/>
      <c r="Q259" s="7"/>
      <c r="R259" s="7"/>
      <c r="S259" s="7"/>
    </row>
    <row r="260" ht="14.25" customHeight="1">
      <c r="E260" s="7"/>
      <c r="F260" s="7"/>
      <c r="G260" s="7"/>
      <c r="J260" s="7"/>
      <c r="K260" s="7"/>
      <c r="L260" s="7"/>
      <c r="O260" s="7"/>
      <c r="P260" s="7"/>
      <c r="Q260" s="7"/>
      <c r="R260" s="7"/>
      <c r="S260" s="7"/>
    </row>
    <row r="261" ht="14.25" customHeight="1">
      <c r="E261" s="7"/>
      <c r="F261" s="7"/>
      <c r="G261" s="7"/>
      <c r="J261" s="7"/>
      <c r="K261" s="7"/>
      <c r="L261" s="7"/>
      <c r="O261" s="7"/>
      <c r="P261" s="7"/>
      <c r="Q261" s="7"/>
      <c r="R261" s="7"/>
      <c r="S261" s="7"/>
    </row>
    <row r="262" ht="14.25" customHeight="1">
      <c r="E262" s="7"/>
      <c r="F262" s="7"/>
      <c r="G262" s="7"/>
      <c r="J262" s="7"/>
      <c r="K262" s="7"/>
      <c r="L262" s="7"/>
      <c r="O262" s="7"/>
      <c r="P262" s="7"/>
      <c r="Q262" s="7"/>
      <c r="R262" s="7"/>
      <c r="S262" s="7"/>
    </row>
    <row r="263" ht="14.25" customHeight="1">
      <c r="E263" s="7"/>
      <c r="F263" s="7"/>
      <c r="G263" s="7"/>
      <c r="J263" s="7"/>
      <c r="K263" s="7"/>
      <c r="L263" s="7"/>
      <c r="O263" s="7"/>
      <c r="P263" s="7"/>
      <c r="Q263" s="7"/>
      <c r="R263" s="7"/>
      <c r="S263" s="7"/>
    </row>
    <row r="264" ht="14.25" customHeight="1">
      <c r="E264" s="7"/>
      <c r="F264" s="7"/>
      <c r="G264" s="7"/>
      <c r="J264" s="7"/>
      <c r="K264" s="7"/>
      <c r="L264" s="7"/>
      <c r="O264" s="7"/>
      <c r="P264" s="7"/>
      <c r="Q264" s="7"/>
      <c r="R264" s="7"/>
      <c r="S264" s="7"/>
    </row>
    <row r="265" ht="14.25" customHeight="1">
      <c r="E265" s="7"/>
      <c r="F265" s="7"/>
      <c r="G265" s="7"/>
      <c r="J265" s="7"/>
      <c r="K265" s="7"/>
      <c r="L265" s="7"/>
      <c r="O265" s="7"/>
      <c r="P265" s="7"/>
      <c r="Q265" s="7"/>
      <c r="R265" s="7"/>
      <c r="S265" s="7"/>
    </row>
    <row r="266" ht="14.25" customHeight="1">
      <c r="E266" s="7"/>
      <c r="F266" s="7"/>
      <c r="G266" s="7"/>
      <c r="J266" s="7"/>
      <c r="K266" s="7"/>
      <c r="L266" s="7"/>
      <c r="O266" s="7"/>
      <c r="P266" s="7"/>
      <c r="Q266" s="7"/>
      <c r="R266" s="7"/>
      <c r="S266" s="7"/>
    </row>
    <row r="267" ht="14.25" customHeight="1">
      <c r="E267" s="7"/>
      <c r="F267" s="7"/>
      <c r="G267" s="7"/>
      <c r="J267" s="7"/>
      <c r="K267" s="7"/>
      <c r="L267" s="7"/>
      <c r="O267" s="7"/>
      <c r="P267" s="7"/>
      <c r="Q267" s="7"/>
      <c r="R267" s="7"/>
      <c r="S267" s="7"/>
    </row>
    <row r="268" ht="14.25" customHeight="1">
      <c r="E268" s="7"/>
      <c r="F268" s="7"/>
      <c r="G268" s="7"/>
      <c r="J268" s="7"/>
      <c r="K268" s="7"/>
      <c r="L268" s="7"/>
      <c r="O268" s="7"/>
      <c r="P268" s="7"/>
      <c r="Q268" s="7"/>
      <c r="R268" s="7"/>
      <c r="S268" s="7"/>
    </row>
    <row r="269" ht="14.25" customHeight="1">
      <c r="E269" s="7"/>
      <c r="F269" s="7"/>
      <c r="G269" s="7"/>
      <c r="J269" s="7"/>
      <c r="K269" s="7"/>
      <c r="L269" s="7"/>
      <c r="O269" s="7"/>
      <c r="P269" s="7"/>
      <c r="Q269" s="7"/>
      <c r="R269" s="7"/>
      <c r="S269" s="7"/>
    </row>
    <row r="270" ht="14.25" customHeight="1">
      <c r="E270" s="7"/>
      <c r="F270" s="7"/>
      <c r="G270" s="7"/>
      <c r="J270" s="7"/>
      <c r="K270" s="7"/>
      <c r="L270" s="7"/>
      <c r="O270" s="7"/>
      <c r="P270" s="7"/>
      <c r="Q270" s="7"/>
      <c r="R270" s="7"/>
      <c r="S270" s="7"/>
    </row>
    <row r="271" ht="14.25" customHeight="1">
      <c r="E271" s="7"/>
      <c r="F271" s="7"/>
      <c r="G271" s="7"/>
      <c r="J271" s="7"/>
      <c r="K271" s="7"/>
      <c r="L271" s="7"/>
      <c r="O271" s="7"/>
      <c r="P271" s="7"/>
      <c r="Q271" s="7"/>
      <c r="R271" s="7"/>
      <c r="S271" s="7"/>
    </row>
    <row r="272" ht="14.25" customHeight="1">
      <c r="E272" s="7"/>
      <c r="F272" s="7"/>
      <c r="G272" s="7"/>
      <c r="J272" s="7"/>
      <c r="K272" s="7"/>
      <c r="L272" s="7"/>
      <c r="O272" s="7"/>
      <c r="P272" s="7"/>
      <c r="Q272" s="7"/>
      <c r="R272" s="7"/>
      <c r="S272" s="7"/>
    </row>
    <row r="273" ht="14.25" customHeight="1">
      <c r="E273" s="7"/>
      <c r="F273" s="7"/>
      <c r="G273" s="7"/>
      <c r="J273" s="7"/>
      <c r="K273" s="7"/>
      <c r="L273" s="7"/>
      <c r="O273" s="7"/>
      <c r="P273" s="7"/>
      <c r="Q273" s="7"/>
      <c r="R273" s="7"/>
      <c r="S273" s="7"/>
    </row>
    <row r="274" ht="14.25" customHeight="1">
      <c r="E274" s="7"/>
      <c r="F274" s="7"/>
      <c r="G274" s="7"/>
      <c r="J274" s="7"/>
      <c r="K274" s="7"/>
      <c r="L274" s="7"/>
      <c r="O274" s="7"/>
      <c r="P274" s="7"/>
      <c r="Q274" s="7"/>
      <c r="R274" s="7"/>
      <c r="S274" s="7"/>
    </row>
    <row r="275" ht="14.25" customHeight="1">
      <c r="E275" s="7"/>
      <c r="F275" s="7"/>
      <c r="G275" s="7"/>
      <c r="J275" s="7"/>
      <c r="K275" s="7"/>
      <c r="L275" s="7"/>
      <c r="O275" s="7"/>
      <c r="P275" s="7"/>
      <c r="Q275" s="7"/>
      <c r="R275" s="7"/>
      <c r="S275" s="7"/>
    </row>
    <row r="276" ht="14.25" customHeight="1">
      <c r="E276" s="7"/>
      <c r="F276" s="7"/>
      <c r="G276" s="7"/>
      <c r="J276" s="7"/>
      <c r="K276" s="7"/>
      <c r="L276" s="7"/>
      <c r="O276" s="7"/>
      <c r="P276" s="7"/>
      <c r="Q276" s="7"/>
      <c r="R276" s="7"/>
      <c r="S276" s="7"/>
    </row>
    <row r="277" ht="14.25" customHeight="1">
      <c r="E277" s="7"/>
      <c r="F277" s="7"/>
      <c r="G277" s="7"/>
      <c r="J277" s="7"/>
      <c r="K277" s="7"/>
      <c r="L277" s="7"/>
      <c r="O277" s="7"/>
      <c r="P277" s="7"/>
      <c r="Q277" s="7"/>
      <c r="R277" s="7"/>
      <c r="S277" s="7"/>
    </row>
    <row r="278" ht="14.25" customHeight="1">
      <c r="E278" s="7"/>
      <c r="F278" s="7"/>
      <c r="G278" s="7"/>
      <c r="J278" s="7"/>
      <c r="K278" s="7"/>
      <c r="L278" s="7"/>
      <c r="O278" s="7"/>
      <c r="P278" s="7"/>
      <c r="Q278" s="7"/>
      <c r="R278" s="7"/>
      <c r="S278" s="7"/>
    </row>
    <row r="279" ht="14.25" customHeight="1">
      <c r="E279" s="7"/>
      <c r="F279" s="7"/>
      <c r="G279" s="7"/>
      <c r="J279" s="7"/>
      <c r="K279" s="7"/>
      <c r="L279" s="7"/>
      <c r="O279" s="7"/>
      <c r="P279" s="7"/>
      <c r="Q279" s="7"/>
      <c r="R279" s="7"/>
      <c r="S279" s="7"/>
    </row>
    <row r="280" ht="14.25" customHeight="1">
      <c r="E280" s="7"/>
      <c r="F280" s="7"/>
      <c r="G280" s="7"/>
      <c r="J280" s="7"/>
      <c r="K280" s="7"/>
      <c r="L280" s="7"/>
      <c r="O280" s="7"/>
      <c r="P280" s="7"/>
      <c r="Q280" s="7"/>
      <c r="R280" s="7"/>
      <c r="S280" s="7"/>
    </row>
    <row r="281" ht="14.25" customHeight="1">
      <c r="E281" s="7"/>
      <c r="F281" s="7"/>
      <c r="G281" s="7"/>
      <c r="J281" s="7"/>
      <c r="K281" s="7"/>
      <c r="L281" s="7"/>
      <c r="O281" s="7"/>
      <c r="P281" s="7"/>
      <c r="Q281" s="7"/>
      <c r="R281" s="7"/>
      <c r="S281" s="7"/>
    </row>
    <row r="282" ht="14.25" customHeight="1">
      <c r="E282" s="7"/>
      <c r="F282" s="7"/>
      <c r="G282" s="7"/>
      <c r="J282" s="7"/>
      <c r="K282" s="7"/>
      <c r="L282" s="7"/>
      <c r="O282" s="7"/>
      <c r="P282" s="7"/>
      <c r="Q282" s="7"/>
      <c r="R282" s="7"/>
      <c r="S282" s="7"/>
    </row>
    <row r="283" ht="14.25" customHeight="1">
      <c r="E283" s="7"/>
      <c r="F283" s="7"/>
      <c r="G283" s="7"/>
      <c r="J283" s="7"/>
      <c r="K283" s="7"/>
      <c r="L283" s="7"/>
      <c r="O283" s="7"/>
      <c r="P283" s="7"/>
      <c r="Q283" s="7"/>
      <c r="R283" s="7"/>
      <c r="S283" s="7"/>
    </row>
    <row r="284" ht="14.25" customHeight="1">
      <c r="E284" s="7"/>
      <c r="F284" s="7"/>
      <c r="G284" s="7"/>
      <c r="J284" s="7"/>
      <c r="K284" s="7"/>
      <c r="L284" s="7"/>
      <c r="O284" s="7"/>
      <c r="P284" s="7"/>
      <c r="Q284" s="7"/>
      <c r="R284" s="7"/>
      <c r="S284" s="7"/>
    </row>
    <row r="285" ht="14.25" customHeight="1">
      <c r="E285" s="7"/>
      <c r="F285" s="7"/>
      <c r="G285" s="7"/>
      <c r="J285" s="7"/>
      <c r="K285" s="7"/>
      <c r="L285" s="7"/>
      <c r="O285" s="7"/>
      <c r="P285" s="7"/>
      <c r="Q285" s="7"/>
      <c r="R285" s="7"/>
      <c r="S285" s="7"/>
    </row>
    <row r="286" ht="14.25" customHeight="1">
      <c r="E286" s="7"/>
      <c r="F286" s="7"/>
      <c r="G286" s="7"/>
      <c r="J286" s="7"/>
      <c r="K286" s="7"/>
      <c r="L286" s="7"/>
      <c r="O286" s="7"/>
      <c r="P286" s="7"/>
      <c r="Q286" s="7"/>
      <c r="R286" s="7"/>
      <c r="S286" s="7"/>
    </row>
    <row r="287" ht="14.25" customHeight="1">
      <c r="E287" s="7"/>
      <c r="F287" s="7"/>
      <c r="G287" s="7"/>
      <c r="J287" s="7"/>
      <c r="K287" s="7"/>
      <c r="L287" s="7"/>
      <c r="O287" s="7"/>
      <c r="P287" s="7"/>
      <c r="Q287" s="7"/>
      <c r="R287" s="7"/>
      <c r="S287" s="7"/>
    </row>
    <row r="288" ht="14.25" customHeight="1">
      <c r="E288" s="7"/>
      <c r="F288" s="7"/>
      <c r="G288" s="7"/>
      <c r="J288" s="7"/>
      <c r="K288" s="7"/>
      <c r="L288" s="7"/>
      <c r="O288" s="7"/>
      <c r="P288" s="7"/>
      <c r="Q288" s="7"/>
      <c r="R288" s="7"/>
      <c r="S288" s="7"/>
    </row>
    <row r="289" ht="14.25" customHeight="1">
      <c r="E289" s="7"/>
      <c r="F289" s="7"/>
      <c r="G289" s="7"/>
      <c r="J289" s="7"/>
      <c r="K289" s="7"/>
      <c r="L289" s="7"/>
      <c r="O289" s="7"/>
      <c r="P289" s="7"/>
      <c r="Q289" s="7"/>
      <c r="R289" s="7"/>
      <c r="S289" s="7"/>
    </row>
    <row r="290" ht="14.25" customHeight="1">
      <c r="E290" s="7"/>
      <c r="F290" s="7"/>
      <c r="G290" s="7"/>
      <c r="J290" s="7"/>
      <c r="K290" s="7"/>
      <c r="L290" s="7"/>
      <c r="O290" s="7"/>
      <c r="P290" s="7"/>
      <c r="Q290" s="7"/>
      <c r="R290" s="7"/>
      <c r="S290" s="7"/>
    </row>
    <row r="291" ht="14.25" customHeight="1">
      <c r="E291" s="7"/>
      <c r="F291" s="7"/>
      <c r="G291" s="7"/>
      <c r="J291" s="7"/>
      <c r="K291" s="7"/>
      <c r="L291" s="7"/>
      <c r="O291" s="7"/>
      <c r="P291" s="7"/>
      <c r="Q291" s="7"/>
      <c r="R291" s="7"/>
      <c r="S291" s="7"/>
    </row>
    <row r="292" ht="14.25" customHeight="1">
      <c r="E292" s="7"/>
      <c r="F292" s="7"/>
      <c r="G292" s="7"/>
      <c r="J292" s="7"/>
      <c r="K292" s="7"/>
      <c r="L292" s="7"/>
      <c r="O292" s="7"/>
      <c r="P292" s="7"/>
      <c r="Q292" s="7"/>
      <c r="R292" s="7"/>
      <c r="S292" s="7"/>
    </row>
    <row r="293" ht="14.25" customHeight="1">
      <c r="E293" s="7"/>
      <c r="F293" s="7"/>
      <c r="G293" s="7"/>
      <c r="J293" s="7"/>
      <c r="K293" s="7"/>
      <c r="L293" s="7"/>
      <c r="O293" s="7"/>
      <c r="P293" s="7"/>
      <c r="Q293" s="7"/>
      <c r="R293" s="7"/>
      <c r="S293" s="7"/>
    </row>
    <row r="294" ht="14.25" customHeight="1">
      <c r="E294" s="7"/>
      <c r="F294" s="7"/>
      <c r="G294" s="7"/>
      <c r="J294" s="7"/>
      <c r="K294" s="7"/>
      <c r="L294" s="7"/>
      <c r="O294" s="7"/>
      <c r="P294" s="7"/>
      <c r="Q294" s="7"/>
      <c r="R294" s="7"/>
      <c r="S294" s="7"/>
    </row>
    <row r="295" ht="14.25" customHeight="1">
      <c r="E295" s="7"/>
      <c r="F295" s="7"/>
      <c r="G295" s="7"/>
      <c r="J295" s="7"/>
      <c r="K295" s="7"/>
      <c r="L295" s="7"/>
      <c r="O295" s="7"/>
      <c r="P295" s="7"/>
      <c r="Q295" s="7"/>
      <c r="R295" s="7"/>
      <c r="S295" s="7"/>
    </row>
    <row r="296" ht="14.25" customHeight="1">
      <c r="E296" s="7"/>
      <c r="F296" s="7"/>
      <c r="G296" s="7"/>
      <c r="J296" s="7"/>
      <c r="K296" s="7"/>
      <c r="L296" s="7"/>
      <c r="O296" s="7"/>
      <c r="P296" s="7"/>
      <c r="Q296" s="7"/>
      <c r="R296" s="7"/>
      <c r="S296" s="7"/>
    </row>
    <row r="297" ht="14.25" customHeight="1">
      <c r="E297" s="7"/>
      <c r="F297" s="7"/>
      <c r="G297" s="7"/>
      <c r="J297" s="7"/>
      <c r="K297" s="7"/>
      <c r="L297" s="7"/>
      <c r="O297" s="7"/>
      <c r="P297" s="7"/>
      <c r="Q297" s="7"/>
      <c r="R297" s="7"/>
      <c r="S297" s="7"/>
    </row>
    <row r="298" ht="14.25" customHeight="1">
      <c r="E298" s="7"/>
      <c r="F298" s="7"/>
      <c r="G298" s="7"/>
      <c r="J298" s="7"/>
      <c r="K298" s="7"/>
      <c r="L298" s="7"/>
      <c r="O298" s="7"/>
      <c r="P298" s="7"/>
      <c r="Q298" s="7"/>
      <c r="R298" s="7"/>
      <c r="S298" s="7"/>
    </row>
    <row r="299" ht="14.25" customHeight="1">
      <c r="E299" s="7"/>
      <c r="F299" s="7"/>
      <c r="G299" s="7"/>
      <c r="J299" s="7"/>
      <c r="K299" s="7"/>
      <c r="L299" s="7"/>
      <c r="O299" s="7"/>
      <c r="P299" s="7"/>
      <c r="Q299" s="7"/>
      <c r="R299" s="7"/>
      <c r="S299" s="7"/>
    </row>
    <row r="300" ht="14.25" customHeight="1">
      <c r="E300" s="7"/>
      <c r="F300" s="7"/>
      <c r="G300" s="7"/>
      <c r="J300" s="7"/>
      <c r="K300" s="7"/>
      <c r="L300" s="7"/>
      <c r="O300" s="7"/>
      <c r="P300" s="7"/>
      <c r="Q300" s="7"/>
      <c r="R300" s="7"/>
      <c r="S300" s="7"/>
    </row>
    <row r="301" ht="14.25" customHeight="1">
      <c r="E301" s="7"/>
      <c r="F301" s="7"/>
      <c r="G301" s="7"/>
      <c r="J301" s="7"/>
      <c r="K301" s="7"/>
      <c r="L301" s="7"/>
      <c r="O301" s="7"/>
      <c r="P301" s="7"/>
      <c r="Q301" s="7"/>
      <c r="R301" s="7"/>
      <c r="S301" s="7"/>
    </row>
    <row r="302" ht="14.25" customHeight="1">
      <c r="E302" s="7"/>
      <c r="F302" s="7"/>
      <c r="G302" s="7"/>
      <c r="J302" s="7"/>
      <c r="K302" s="7"/>
      <c r="L302" s="7"/>
      <c r="O302" s="7"/>
      <c r="P302" s="7"/>
      <c r="Q302" s="7"/>
      <c r="R302" s="7"/>
      <c r="S302" s="7"/>
    </row>
    <row r="303" ht="14.25" customHeight="1">
      <c r="E303" s="7"/>
      <c r="F303" s="7"/>
      <c r="G303" s="7"/>
      <c r="J303" s="7"/>
      <c r="K303" s="7"/>
      <c r="L303" s="7"/>
      <c r="O303" s="7"/>
      <c r="P303" s="7"/>
      <c r="Q303" s="7"/>
      <c r="R303" s="7"/>
      <c r="S303" s="7"/>
    </row>
    <row r="304" ht="14.25" customHeight="1">
      <c r="E304" s="7"/>
      <c r="F304" s="7"/>
      <c r="G304" s="7"/>
      <c r="J304" s="7"/>
      <c r="K304" s="7"/>
      <c r="L304" s="7"/>
      <c r="O304" s="7"/>
      <c r="P304" s="7"/>
      <c r="Q304" s="7"/>
      <c r="R304" s="7"/>
      <c r="S304" s="7"/>
    </row>
    <row r="305" ht="14.25" customHeight="1">
      <c r="E305" s="7"/>
      <c r="F305" s="7"/>
      <c r="G305" s="7"/>
      <c r="J305" s="7"/>
      <c r="K305" s="7"/>
      <c r="L305" s="7"/>
      <c r="O305" s="7"/>
      <c r="P305" s="7"/>
      <c r="Q305" s="7"/>
      <c r="R305" s="7"/>
      <c r="S305" s="7"/>
    </row>
    <row r="306" ht="14.25" customHeight="1">
      <c r="E306" s="7"/>
      <c r="F306" s="7"/>
      <c r="G306" s="7"/>
      <c r="J306" s="7"/>
      <c r="K306" s="7"/>
      <c r="L306" s="7"/>
      <c r="O306" s="7"/>
      <c r="P306" s="7"/>
      <c r="Q306" s="7"/>
      <c r="R306" s="7"/>
      <c r="S306" s="7"/>
    </row>
    <row r="307" ht="14.25" customHeight="1">
      <c r="E307" s="7"/>
      <c r="F307" s="7"/>
      <c r="G307" s="7"/>
      <c r="J307" s="7"/>
      <c r="K307" s="7"/>
      <c r="L307" s="7"/>
      <c r="O307" s="7"/>
      <c r="P307" s="7"/>
      <c r="Q307" s="7"/>
      <c r="R307" s="7"/>
      <c r="S307" s="7"/>
    </row>
    <row r="308" ht="14.25" customHeight="1">
      <c r="E308" s="7"/>
      <c r="F308" s="7"/>
      <c r="G308" s="7"/>
      <c r="J308" s="7"/>
      <c r="K308" s="7"/>
      <c r="L308" s="7"/>
      <c r="O308" s="7"/>
      <c r="P308" s="7"/>
      <c r="Q308" s="7"/>
      <c r="R308" s="7"/>
      <c r="S308" s="7"/>
    </row>
    <row r="309" ht="14.25" customHeight="1">
      <c r="E309" s="7"/>
      <c r="F309" s="7"/>
      <c r="G309" s="7"/>
      <c r="J309" s="7"/>
      <c r="K309" s="7"/>
      <c r="L309" s="7"/>
      <c r="O309" s="7"/>
      <c r="P309" s="7"/>
      <c r="Q309" s="7"/>
      <c r="R309" s="7"/>
      <c r="S309" s="7"/>
    </row>
    <row r="310" ht="14.25" customHeight="1">
      <c r="E310" s="7"/>
      <c r="F310" s="7"/>
      <c r="G310" s="7"/>
      <c r="J310" s="7"/>
      <c r="K310" s="7"/>
      <c r="L310" s="7"/>
      <c r="O310" s="7"/>
      <c r="P310" s="7"/>
      <c r="Q310" s="7"/>
      <c r="R310" s="7"/>
      <c r="S310" s="7"/>
    </row>
    <row r="311" ht="14.25" customHeight="1">
      <c r="E311" s="7"/>
      <c r="F311" s="7"/>
      <c r="G311" s="7"/>
      <c r="J311" s="7"/>
      <c r="K311" s="7"/>
      <c r="L311" s="7"/>
      <c r="O311" s="7"/>
      <c r="P311" s="7"/>
      <c r="Q311" s="7"/>
      <c r="R311" s="7"/>
      <c r="S311" s="7"/>
    </row>
    <row r="312" ht="14.25" customHeight="1">
      <c r="E312" s="7"/>
      <c r="F312" s="7"/>
      <c r="G312" s="7"/>
      <c r="J312" s="7"/>
      <c r="K312" s="7"/>
      <c r="L312" s="7"/>
      <c r="O312" s="7"/>
      <c r="P312" s="7"/>
      <c r="Q312" s="7"/>
      <c r="R312" s="7"/>
      <c r="S312" s="7"/>
    </row>
    <row r="313" ht="14.25" customHeight="1">
      <c r="E313" s="7"/>
      <c r="F313" s="7"/>
      <c r="G313" s="7"/>
      <c r="J313" s="7"/>
      <c r="K313" s="7"/>
      <c r="L313" s="7"/>
      <c r="O313" s="7"/>
      <c r="P313" s="7"/>
      <c r="Q313" s="7"/>
      <c r="R313" s="7"/>
      <c r="S313" s="7"/>
    </row>
    <row r="314" ht="14.25" customHeight="1">
      <c r="E314" s="7"/>
      <c r="F314" s="7"/>
      <c r="G314" s="7"/>
      <c r="J314" s="7"/>
      <c r="K314" s="7"/>
      <c r="L314" s="7"/>
      <c r="O314" s="7"/>
      <c r="P314" s="7"/>
      <c r="Q314" s="7"/>
      <c r="R314" s="7"/>
      <c r="S314" s="7"/>
    </row>
    <row r="315" ht="14.25" customHeight="1">
      <c r="E315" s="7"/>
      <c r="F315" s="7"/>
      <c r="G315" s="7"/>
      <c r="J315" s="7"/>
      <c r="K315" s="7"/>
      <c r="L315" s="7"/>
      <c r="O315" s="7"/>
      <c r="P315" s="7"/>
      <c r="Q315" s="7"/>
      <c r="R315" s="7"/>
      <c r="S315" s="7"/>
    </row>
    <row r="316" ht="14.25" customHeight="1">
      <c r="E316" s="7"/>
      <c r="F316" s="7"/>
      <c r="G316" s="7"/>
      <c r="J316" s="7"/>
      <c r="K316" s="7"/>
      <c r="L316" s="7"/>
      <c r="O316" s="7"/>
      <c r="P316" s="7"/>
      <c r="Q316" s="7"/>
      <c r="R316" s="7"/>
      <c r="S316" s="7"/>
    </row>
    <row r="317" ht="14.25" customHeight="1">
      <c r="E317" s="7"/>
      <c r="F317" s="7"/>
      <c r="G317" s="7"/>
      <c r="J317" s="7"/>
      <c r="K317" s="7"/>
      <c r="L317" s="7"/>
      <c r="O317" s="7"/>
      <c r="P317" s="7"/>
      <c r="Q317" s="7"/>
      <c r="R317" s="7"/>
      <c r="S317" s="7"/>
    </row>
    <row r="318" ht="14.25" customHeight="1">
      <c r="E318" s="7"/>
      <c r="F318" s="7"/>
      <c r="G318" s="7"/>
      <c r="J318" s="7"/>
      <c r="K318" s="7"/>
      <c r="L318" s="7"/>
      <c r="O318" s="7"/>
      <c r="P318" s="7"/>
      <c r="Q318" s="7"/>
      <c r="R318" s="7"/>
      <c r="S318" s="7"/>
    </row>
    <row r="319" ht="14.25" customHeight="1">
      <c r="E319" s="7"/>
      <c r="F319" s="7"/>
      <c r="G319" s="7"/>
      <c r="J319" s="7"/>
      <c r="K319" s="7"/>
      <c r="L319" s="7"/>
      <c r="O319" s="7"/>
      <c r="P319" s="7"/>
      <c r="Q319" s="7"/>
      <c r="R319" s="7"/>
      <c r="S319" s="7"/>
    </row>
    <row r="320" ht="14.25" customHeight="1">
      <c r="E320" s="7"/>
      <c r="F320" s="7"/>
      <c r="G320" s="7"/>
      <c r="J320" s="7"/>
      <c r="K320" s="7"/>
      <c r="L320" s="7"/>
      <c r="O320" s="7"/>
      <c r="P320" s="7"/>
      <c r="Q320" s="7"/>
      <c r="R320" s="7"/>
      <c r="S320" s="7"/>
    </row>
    <row r="321" ht="14.25" customHeight="1">
      <c r="E321" s="7"/>
      <c r="F321" s="7"/>
      <c r="G321" s="7"/>
      <c r="J321" s="7"/>
      <c r="K321" s="7"/>
      <c r="L321" s="7"/>
      <c r="O321" s="7"/>
      <c r="P321" s="7"/>
      <c r="Q321" s="7"/>
      <c r="R321" s="7"/>
      <c r="S321" s="7"/>
    </row>
    <row r="322" ht="14.25" customHeight="1">
      <c r="E322" s="7"/>
      <c r="F322" s="7"/>
      <c r="G322" s="7"/>
      <c r="J322" s="7"/>
      <c r="K322" s="7"/>
      <c r="L322" s="7"/>
      <c r="O322" s="7"/>
      <c r="P322" s="7"/>
      <c r="Q322" s="7"/>
      <c r="R322" s="7"/>
      <c r="S322" s="7"/>
    </row>
    <row r="323" ht="14.25" customHeight="1">
      <c r="E323" s="7"/>
      <c r="F323" s="7"/>
      <c r="G323" s="7"/>
      <c r="J323" s="7"/>
      <c r="K323" s="7"/>
      <c r="L323" s="7"/>
      <c r="O323" s="7"/>
      <c r="P323" s="7"/>
      <c r="Q323" s="7"/>
      <c r="R323" s="7"/>
      <c r="S323" s="7"/>
    </row>
    <row r="324" ht="14.25" customHeight="1">
      <c r="E324" s="7"/>
      <c r="F324" s="7"/>
      <c r="G324" s="7"/>
      <c r="J324" s="7"/>
      <c r="K324" s="7"/>
      <c r="L324" s="7"/>
      <c r="O324" s="7"/>
      <c r="P324" s="7"/>
      <c r="Q324" s="7"/>
      <c r="R324" s="7"/>
      <c r="S324" s="7"/>
    </row>
    <row r="325" ht="14.25" customHeight="1">
      <c r="E325" s="7"/>
      <c r="F325" s="7"/>
      <c r="G325" s="7"/>
      <c r="J325" s="7"/>
      <c r="K325" s="7"/>
      <c r="L325" s="7"/>
      <c r="O325" s="7"/>
      <c r="P325" s="7"/>
      <c r="Q325" s="7"/>
      <c r="R325" s="7"/>
      <c r="S325" s="7"/>
    </row>
    <row r="326" ht="14.25" customHeight="1">
      <c r="E326" s="7"/>
      <c r="F326" s="7"/>
      <c r="G326" s="7"/>
      <c r="J326" s="7"/>
      <c r="K326" s="7"/>
      <c r="L326" s="7"/>
      <c r="O326" s="7"/>
      <c r="P326" s="7"/>
      <c r="Q326" s="7"/>
      <c r="R326" s="7"/>
      <c r="S326" s="7"/>
    </row>
    <row r="327" ht="14.25" customHeight="1">
      <c r="E327" s="7"/>
      <c r="F327" s="7"/>
      <c r="G327" s="7"/>
      <c r="J327" s="7"/>
      <c r="K327" s="7"/>
      <c r="L327" s="7"/>
      <c r="O327" s="7"/>
      <c r="P327" s="7"/>
      <c r="Q327" s="7"/>
      <c r="R327" s="7"/>
      <c r="S327" s="7"/>
    </row>
    <row r="328" ht="14.25" customHeight="1">
      <c r="E328" s="7"/>
      <c r="F328" s="7"/>
      <c r="G328" s="7"/>
      <c r="J328" s="7"/>
      <c r="K328" s="7"/>
      <c r="L328" s="7"/>
      <c r="O328" s="7"/>
      <c r="P328" s="7"/>
      <c r="Q328" s="7"/>
      <c r="R328" s="7"/>
      <c r="S328" s="7"/>
    </row>
    <row r="329" ht="14.25" customHeight="1">
      <c r="E329" s="7"/>
      <c r="F329" s="7"/>
      <c r="G329" s="7"/>
      <c r="J329" s="7"/>
      <c r="K329" s="7"/>
      <c r="L329" s="7"/>
      <c r="O329" s="7"/>
      <c r="P329" s="7"/>
      <c r="Q329" s="7"/>
      <c r="R329" s="7"/>
      <c r="S329" s="7"/>
    </row>
    <row r="330" ht="14.25" customHeight="1">
      <c r="E330" s="7"/>
      <c r="F330" s="7"/>
      <c r="G330" s="7"/>
      <c r="J330" s="7"/>
      <c r="K330" s="7"/>
      <c r="L330" s="7"/>
      <c r="O330" s="7"/>
      <c r="P330" s="7"/>
      <c r="Q330" s="7"/>
      <c r="R330" s="7"/>
      <c r="S330" s="7"/>
    </row>
    <row r="331" ht="14.25" customHeight="1">
      <c r="E331" s="7"/>
      <c r="F331" s="7"/>
      <c r="G331" s="7"/>
      <c r="J331" s="7"/>
      <c r="K331" s="7"/>
      <c r="L331" s="7"/>
      <c r="O331" s="7"/>
      <c r="P331" s="7"/>
      <c r="Q331" s="7"/>
      <c r="R331" s="7"/>
      <c r="S331" s="7"/>
    </row>
    <row r="332" ht="14.25" customHeight="1">
      <c r="E332" s="7"/>
      <c r="F332" s="7"/>
      <c r="G332" s="7"/>
      <c r="J332" s="7"/>
      <c r="K332" s="7"/>
      <c r="L332" s="7"/>
      <c r="O332" s="7"/>
      <c r="P332" s="7"/>
      <c r="Q332" s="7"/>
      <c r="R332" s="7"/>
      <c r="S332" s="7"/>
    </row>
    <row r="333" ht="14.25" customHeight="1">
      <c r="E333" s="7"/>
      <c r="F333" s="7"/>
      <c r="G333" s="7"/>
      <c r="J333" s="7"/>
      <c r="K333" s="7"/>
      <c r="L333" s="7"/>
      <c r="O333" s="7"/>
      <c r="P333" s="7"/>
      <c r="Q333" s="7"/>
      <c r="R333" s="7"/>
      <c r="S333" s="7"/>
    </row>
    <row r="334" ht="14.25" customHeight="1">
      <c r="E334" s="7"/>
      <c r="F334" s="7"/>
      <c r="G334" s="7"/>
      <c r="J334" s="7"/>
      <c r="K334" s="7"/>
      <c r="L334" s="7"/>
      <c r="O334" s="7"/>
      <c r="P334" s="7"/>
      <c r="Q334" s="7"/>
      <c r="R334" s="7"/>
      <c r="S334" s="7"/>
    </row>
    <row r="335" ht="14.25" customHeight="1">
      <c r="E335" s="7"/>
      <c r="F335" s="7"/>
      <c r="G335" s="7"/>
      <c r="J335" s="7"/>
      <c r="K335" s="7"/>
      <c r="L335" s="7"/>
      <c r="O335" s="7"/>
      <c r="P335" s="7"/>
      <c r="Q335" s="7"/>
      <c r="R335" s="7"/>
      <c r="S335" s="7"/>
    </row>
    <row r="336" ht="14.25" customHeight="1">
      <c r="E336" s="7"/>
      <c r="F336" s="7"/>
      <c r="G336" s="7"/>
      <c r="J336" s="7"/>
      <c r="K336" s="7"/>
      <c r="L336" s="7"/>
      <c r="O336" s="7"/>
      <c r="P336" s="7"/>
      <c r="Q336" s="7"/>
      <c r="R336" s="7"/>
      <c r="S336" s="7"/>
    </row>
    <row r="337" ht="14.25" customHeight="1">
      <c r="E337" s="7"/>
      <c r="F337" s="7"/>
      <c r="G337" s="7"/>
      <c r="J337" s="7"/>
      <c r="K337" s="7"/>
      <c r="L337" s="7"/>
      <c r="O337" s="7"/>
      <c r="P337" s="7"/>
      <c r="Q337" s="7"/>
      <c r="R337" s="7"/>
      <c r="S337" s="7"/>
    </row>
    <row r="338" ht="14.25" customHeight="1">
      <c r="E338" s="7"/>
      <c r="F338" s="7"/>
      <c r="G338" s="7"/>
      <c r="J338" s="7"/>
      <c r="K338" s="7"/>
      <c r="L338" s="7"/>
      <c r="O338" s="7"/>
      <c r="P338" s="7"/>
      <c r="Q338" s="7"/>
      <c r="R338" s="7"/>
      <c r="S338" s="7"/>
    </row>
    <row r="339" ht="14.25" customHeight="1">
      <c r="E339" s="7"/>
      <c r="F339" s="7"/>
      <c r="G339" s="7"/>
      <c r="J339" s="7"/>
      <c r="K339" s="7"/>
      <c r="L339" s="7"/>
      <c r="O339" s="7"/>
      <c r="P339" s="7"/>
      <c r="Q339" s="7"/>
      <c r="R339" s="7"/>
      <c r="S339" s="7"/>
    </row>
    <row r="340" ht="14.25" customHeight="1">
      <c r="E340" s="7"/>
      <c r="F340" s="7"/>
      <c r="G340" s="7"/>
      <c r="J340" s="7"/>
      <c r="K340" s="7"/>
      <c r="L340" s="7"/>
      <c r="O340" s="7"/>
      <c r="P340" s="7"/>
      <c r="Q340" s="7"/>
      <c r="R340" s="7"/>
      <c r="S340" s="7"/>
    </row>
    <row r="341" ht="14.25" customHeight="1">
      <c r="E341" s="7"/>
      <c r="F341" s="7"/>
      <c r="G341" s="7"/>
      <c r="J341" s="7"/>
      <c r="K341" s="7"/>
      <c r="L341" s="7"/>
      <c r="O341" s="7"/>
      <c r="P341" s="7"/>
      <c r="Q341" s="7"/>
      <c r="R341" s="7"/>
      <c r="S341" s="7"/>
    </row>
    <row r="342" ht="14.25" customHeight="1">
      <c r="E342" s="7"/>
      <c r="F342" s="7"/>
      <c r="G342" s="7"/>
      <c r="J342" s="7"/>
      <c r="K342" s="7"/>
      <c r="L342" s="7"/>
      <c r="O342" s="7"/>
      <c r="P342" s="7"/>
      <c r="Q342" s="7"/>
      <c r="R342" s="7"/>
      <c r="S342" s="7"/>
    </row>
    <row r="343" ht="14.25" customHeight="1">
      <c r="E343" s="7"/>
      <c r="F343" s="7"/>
      <c r="G343" s="7"/>
      <c r="J343" s="7"/>
      <c r="K343" s="7"/>
      <c r="L343" s="7"/>
      <c r="O343" s="7"/>
      <c r="P343" s="7"/>
      <c r="Q343" s="7"/>
      <c r="R343" s="7"/>
      <c r="S343" s="7"/>
    </row>
    <row r="344" ht="14.25" customHeight="1">
      <c r="E344" s="7"/>
      <c r="F344" s="7"/>
      <c r="G344" s="7"/>
      <c r="J344" s="7"/>
      <c r="K344" s="7"/>
      <c r="L344" s="7"/>
      <c r="O344" s="7"/>
      <c r="P344" s="7"/>
      <c r="Q344" s="7"/>
      <c r="R344" s="7"/>
      <c r="S344" s="7"/>
    </row>
    <row r="345" ht="14.25" customHeight="1">
      <c r="E345" s="7"/>
      <c r="F345" s="7"/>
      <c r="G345" s="7"/>
      <c r="J345" s="7"/>
      <c r="K345" s="7"/>
      <c r="L345" s="7"/>
      <c r="O345" s="7"/>
      <c r="P345" s="7"/>
      <c r="Q345" s="7"/>
      <c r="R345" s="7"/>
      <c r="S345" s="7"/>
    </row>
    <row r="346" ht="14.25" customHeight="1">
      <c r="E346" s="7"/>
      <c r="F346" s="7"/>
      <c r="G346" s="7"/>
      <c r="J346" s="7"/>
      <c r="K346" s="7"/>
      <c r="L346" s="7"/>
      <c r="O346" s="7"/>
      <c r="P346" s="7"/>
      <c r="Q346" s="7"/>
      <c r="R346" s="7"/>
      <c r="S346" s="7"/>
    </row>
    <row r="347" ht="14.25" customHeight="1">
      <c r="E347" s="7"/>
      <c r="F347" s="7"/>
      <c r="G347" s="7"/>
      <c r="J347" s="7"/>
      <c r="K347" s="7"/>
      <c r="L347" s="7"/>
      <c r="O347" s="7"/>
      <c r="P347" s="7"/>
      <c r="Q347" s="7"/>
      <c r="R347" s="7"/>
      <c r="S347" s="7"/>
    </row>
    <row r="348" ht="14.25" customHeight="1">
      <c r="E348" s="7"/>
      <c r="F348" s="7"/>
      <c r="G348" s="7"/>
      <c r="J348" s="7"/>
      <c r="K348" s="7"/>
      <c r="L348" s="7"/>
      <c r="O348" s="7"/>
      <c r="P348" s="7"/>
      <c r="Q348" s="7"/>
      <c r="R348" s="7"/>
      <c r="S348" s="7"/>
    </row>
    <row r="349" ht="14.25" customHeight="1">
      <c r="E349" s="7"/>
      <c r="F349" s="7"/>
      <c r="G349" s="7"/>
      <c r="J349" s="7"/>
      <c r="K349" s="7"/>
      <c r="L349" s="7"/>
      <c r="O349" s="7"/>
      <c r="P349" s="7"/>
      <c r="Q349" s="7"/>
      <c r="R349" s="7"/>
      <c r="S349" s="7"/>
    </row>
    <row r="350" ht="14.25" customHeight="1">
      <c r="E350" s="7"/>
      <c r="F350" s="7"/>
      <c r="G350" s="7"/>
      <c r="J350" s="7"/>
      <c r="K350" s="7"/>
      <c r="L350" s="7"/>
      <c r="O350" s="7"/>
      <c r="P350" s="7"/>
      <c r="Q350" s="7"/>
      <c r="R350" s="7"/>
      <c r="S350" s="7"/>
    </row>
    <row r="351" ht="14.25" customHeight="1">
      <c r="E351" s="7"/>
      <c r="F351" s="7"/>
      <c r="G351" s="7"/>
      <c r="J351" s="7"/>
      <c r="K351" s="7"/>
      <c r="L351" s="7"/>
      <c r="O351" s="7"/>
      <c r="P351" s="7"/>
      <c r="Q351" s="7"/>
      <c r="R351" s="7"/>
      <c r="S351" s="7"/>
    </row>
    <row r="352" ht="14.25" customHeight="1">
      <c r="E352" s="7"/>
      <c r="F352" s="7"/>
      <c r="G352" s="7"/>
      <c r="J352" s="7"/>
      <c r="K352" s="7"/>
      <c r="L352" s="7"/>
      <c r="O352" s="7"/>
      <c r="P352" s="7"/>
      <c r="Q352" s="7"/>
      <c r="R352" s="7"/>
      <c r="S352" s="7"/>
    </row>
    <row r="353" ht="14.25" customHeight="1">
      <c r="E353" s="7"/>
      <c r="F353" s="7"/>
      <c r="G353" s="7"/>
      <c r="J353" s="7"/>
      <c r="K353" s="7"/>
      <c r="L353" s="7"/>
      <c r="O353" s="7"/>
      <c r="P353" s="7"/>
      <c r="Q353" s="7"/>
      <c r="R353" s="7"/>
      <c r="S353" s="7"/>
    </row>
    <row r="354" ht="14.25" customHeight="1">
      <c r="E354" s="7"/>
      <c r="F354" s="7"/>
      <c r="G354" s="7"/>
      <c r="J354" s="7"/>
      <c r="K354" s="7"/>
      <c r="L354" s="7"/>
      <c r="O354" s="7"/>
      <c r="P354" s="7"/>
      <c r="Q354" s="7"/>
      <c r="R354" s="7"/>
      <c r="S354" s="7"/>
    </row>
    <row r="355" ht="14.25" customHeight="1">
      <c r="E355" s="7"/>
      <c r="F355" s="7"/>
      <c r="G355" s="7"/>
      <c r="J355" s="7"/>
      <c r="K355" s="7"/>
      <c r="L355" s="7"/>
      <c r="O355" s="7"/>
      <c r="P355" s="7"/>
      <c r="Q355" s="7"/>
      <c r="R355" s="7"/>
      <c r="S355" s="7"/>
    </row>
    <row r="356" ht="14.25" customHeight="1">
      <c r="E356" s="7"/>
      <c r="F356" s="7"/>
      <c r="G356" s="7"/>
      <c r="J356" s="7"/>
      <c r="K356" s="7"/>
      <c r="L356" s="7"/>
      <c r="O356" s="7"/>
      <c r="P356" s="7"/>
      <c r="Q356" s="7"/>
      <c r="R356" s="7"/>
      <c r="S356" s="7"/>
    </row>
    <row r="357" ht="14.25" customHeight="1">
      <c r="E357" s="7"/>
      <c r="F357" s="7"/>
      <c r="G357" s="7"/>
      <c r="J357" s="7"/>
      <c r="K357" s="7"/>
      <c r="L357" s="7"/>
      <c r="O357" s="7"/>
      <c r="P357" s="7"/>
      <c r="Q357" s="7"/>
      <c r="R357" s="7"/>
      <c r="S357" s="7"/>
    </row>
    <row r="358" ht="14.25" customHeight="1">
      <c r="E358" s="7"/>
      <c r="F358" s="7"/>
      <c r="G358" s="7"/>
      <c r="J358" s="7"/>
      <c r="K358" s="7"/>
      <c r="L358" s="7"/>
      <c r="O358" s="7"/>
      <c r="P358" s="7"/>
      <c r="Q358" s="7"/>
      <c r="R358" s="7"/>
      <c r="S358" s="7"/>
    </row>
    <row r="359" ht="14.25" customHeight="1">
      <c r="E359" s="7"/>
      <c r="F359" s="7"/>
      <c r="G359" s="7"/>
      <c r="J359" s="7"/>
      <c r="K359" s="7"/>
      <c r="L359" s="7"/>
      <c r="O359" s="7"/>
      <c r="P359" s="7"/>
      <c r="Q359" s="7"/>
      <c r="R359" s="7"/>
      <c r="S359" s="7"/>
    </row>
    <row r="360" ht="14.25" customHeight="1">
      <c r="E360" s="7"/>
      <c r="F360" s="7"/>
      <c r="G360" s="7"/>
      <c r="J360" s="7"/>
      <c r="K360" s="7"/>
      <c r="L360" s="7"/>
      <c r="O360" s="7"/>
      <c r="P360" s="7"/>
      <c r="Q360" s="7"/>
      <c r="R360" s="7"/>
      <c r="S360" s="7"/>
    </row>
    <row r="361" ht="14.25" customHeight="1">
      <c r="E361" s="7"/>
      <c r="F361" s="7"/>
      <c r="G361" s="7"/>
      <c r="J361" s="7"/>
      <c r="K361" s="7"/>
      <c r="L361" s="7"/>
      <c r="O361" s="7"/>
      <c r="P361" s="7"/>
      <c r="Q361" s="7"/>
      <c r="R361" s="7"/>
      <c r="S361" s="7"/>
    </row>
    <row r="362" ht="14.25" customHeight="1">
      <c r="E362" s="7"/>
      <c r="F362" s="7"/>
      <c r="G362" s="7"/>
      <c r="J362" s="7"/>
      <c r="K362" s="7"/>
      <c r="L362" s="7"/>
      <c r="O362" s="7"/>
      <c r="P362" s="7"/>
      <c r="Q362" s="7"/>
      <c r="R362" s="7"/>
      <c r="S362" s="7"/>
    </row>
    <row r="363" ht="14.25" customHeight="1">
      <c r="E363" s="7"/>
      <c r="F363" s="7"/>
      <c r="G363" s="7"/>
      <c r="J363" s="7"/>
      <c r="K363" s="7"/>
      <c r="L363" s="7"/>
      <c r="O363" s="7"/>
      <c r="P363" s="7"/>
      <c r="Q363" s="7"/>
      <c r="R363" s="7"/>
      <c r="S363" s="7"/>
    </row>
    <row r="364" ht="14.25" customHeight="1">
      <c r="E364" s="7"/>
      <c r="F364" s="7"/>
      <c r="G364" s="7"/>
      <c r="J364" s="7"/>
      <c r="K364" s="7"/>
      <c r="L364" s="7"/>
      <c r="O364" s="7"/>
      <c r="P364" s="7"/>
      <c r="Q364" s="7"/>
      <c r="R364" s="7"/>
      <c r="S364" s="7"/>
    </row>
    <row r="365" ht="14.25" customHeight="1">
      <c r="E365" s="7"/>
      <c r="F365" s="7"/>
      <c r="G365" s="7"/>
      <c r="J365" s="7"/>
      <c r="K365" s="7"/>
      <c r="L365" s="7"/>
      <c r="O365" s="7"/>
      <c r="P365" s="7"/>
      <c r="Q365" s="7"/>
      <c r="R365" s="7"/>
      <c r="S365" s="7"/>
    </row>
    <row r="366" ht="14.25" customHeight="1">
      <c r="E366" s="7"/>
      <c r="F366" s="7"/>
      <c r="G366" s="7"/>
      <c r="J366" s="7"/>
      <c r="K366" s="7"/>
      <c r="L366" s="7"/>
      <c r="O366" s="7"/>
      <c r="P366" s="7"/>
      <c r="Q366" s="7"/>
      <c r="R366" s="7"/>
      <c r="S366" s="7"/>
    </row>
    <row r="367" ht="14.25" customHeight="1">
      <c r="E367" s="7"/>
      <c r="F367" s="7"/>
      <c r="G367" s="7"/>
      <c r="J367" s="7"/>
      <c r="K367" s="7"/>
      <c r="L367" s="7"/>
      <c r="O367" s="7"/>
      <c r="P367" s="7"/>
      <c r="Q367" s="7"/>
      <c r="R367" s="7"/>
      <c r="S367" s="7"/>
    </row>
    <row r="368" ht="14.25" customHeight="1">
      <c r="E368" s="7"/>
      <c r="F368" s="7"/>
      <c r="G368" s="7"/>
      <c r="J368" s="7"/>
      <c r="K368" s="7"/>
      <c r="L368" s="7"/>
      <c r="O368" s="7"/>
      <c r="P368" s="7"/>
      <c r="Q368" s="7"/>
      <c r="R368" s="7"/>
      <c r="S368" s="7"/>
    </row>
    <row r="369" ht="14.25" customHeight="1">
      <c r="E369" s="7"/>
      <c r="F369" s="7"/>
      <c r="G369" s="7"/>
      <c r="J369" s="7"/>
      <c r="K369" s="7"/>
      <c r="L369" s="7"/>
      <c r="O369" s="7"/>
      <c r="P369" s="7"/>
      <c r="Q369" s="7"/>
      <c r="R369" s="7"/>
      <c r="S369" s="7"/>
    </row>
    <row r="370" ht="14.25" customHeight="1">
      <c r="E370" s="7"/>
      <c r="F370" s="7"/>
      <c r="G370" s="7"/>
      <c r="J370" s="7"/>
      <c r="K370" s="7"/>
      <c r="L370" s="7"/>
      <c r="O370" s="7"/>
      <c r="P370" s="7"/>
      <c r="Q370" s="7"/>
      <c r="R370" s="7"/>
      <c r="S370" s="7"/>
    </row>
    <row r="371" ht="14.25" customHeight="1">
      <c r="E371" s="7"/>
      <c r="F371" s="7"/>
      <c r="G371" s="7"/>
      <c r="J371" s="7"/>
      <c r="K371" s="7"/>
      <c r="L371" s="7"/>
      <c r="O371" s="7"/>
      <c r="P371" s="7"/>
      <c r="Q371" s="7"/>
      <c r="R371" s="7"/>
      <c r="S371" s="7"/>
    </row>
    <row r="372" ht="14.25" customHeight="1">
      <c r="E372" s="7"/>
      <c r="F372" s="7"/>
      <c r="G372" s="7"/>
      <c r="J372" s="7"/>
      <c r="K372" s="7"/>
      <c r="L372" s="7"/>
      <c r="O372" s="7"/>
      <c r="P372" s="7"/>
      <c r="Q372" s="7"/>
      <c r="R372" s="7"/>
      <c r="S372" s="7"/>
    </row>
    <row r="373" ht="14.25" customHeight="1">
      <c r="E373" s="7"/>
      <c r="F373" s="7"/>
      <c r="G373" s="7"/>
      <c r="J373" s="7"/>
      <c r="K373" s="7"/>
      <c r="L373" s="7"/>
      <c r="O373" s="7"/>
      <c r="P373" s="7"/>
      <c r="Q373" s="7"/>
      <c r="R373" s="7"/>
      <c r="S373" s="7"/>
    </row>
    <row r="374" ht="14.25" customHeight="1">
      <c r="E374" s="7"/>
      <c r="F374" s="7"/>
      <c r="G374" s="7"/>
      <c r="J374" s="7"/>
      <c r="K374" s="7"/>
      <c r="L374" s="7"/>
      <c r="O374" s="7"/>
      <c r="P374" s="7"/>
      <c r="Q374" s="7"/>
      <c r="R374" s="7"/>
      <c r="S374" s="7"/>
    </row>
    <row r="375" ht="14.25" customHeight="1">
      <c r="E375" s="7"/>
      <c r="F375" s="7"/>
      <c r="G375" s="7"/>
      <c r="J375" s="7"/>
      <c r="K375" s="7"/>
      <c r="L375" s="7"/>
      <c r="O375" s="7"/>
      <c r="P375" s="7"/>
      <c r="Q375" s="7"/>
      <c r="R375" s="7"/>
      <c r="S375" s="7"/>
    </row>
    <row r="376" ht="14.25" customHeight="1">
      <c r="E376" s="7"/>
      <c r="F376" s="7"/>
      <c r="G376" s="7"/>
      <c r="J376" s="7"/>
      <c r="K376" s="7"/>
      <c r="L376" s="7"/>
      <c r="O376" s="7"/>
      <c r="P376" s="7"/>
      <c r="Q376" s="7"/>
      <c r="R376" s="7"/>
      <c r="S376" s="7"/>
    </row>
    <row r="377" ht="14.25" customHeight="1">
      <c r="E377" s="7"/>
      <c r="F377" s="7"/>
      <c r="G377" s="7"/>
      <c r="J377" s="7"/>
      <c r="K377" s="7"/>
      <c r="L377" s="7"/>
      <c r="O377" s="7"/>
      <c r="P377" s="7"/>
      <c r="Q377" s="7"/>
      <c r="R377" s="7"/>
      <c r="S377" s="7"/>
    </row>
    <row r="378" ht="14.25" customHeight="1">
      <c r="E378" s="7"/>
      <c r="F378" s="7"/>
      <c r="G378" s="7"/>
      <c r="J378" s="7"/>
      <c r="K378" s="7"/>
      <c r="L378" s="7"/>
      <c r="O378" s="7"/>
      <c r="P378" s="7"/>
      <c r="Q378" s="7"/>
      <c r="R378" s="7"/>
      <c r="S378" s="7"/>
    </row>
    <row r="379" ht="14.25" customHeight="1">
      <c r="E379" s="7"/>
      <c r="F379" s="7"/>
      <c r="G379" s="7"/>
      <c r="J379" s="7"/>
      <c r="K379" s="7"/>
      <c r="L379" s="7"/>
      <c r="O379" s="7"/>
      <c r="P379" s="7"/>
      <c r="Q379" s="7"/>
      <c r="R379" s="7"/>
      <c r="S379" s="7"/>
    </row>
    <row r="380" ht="14.25" customHeight="1">
      <c r="E380" s="7"/>
      <c r="F380" s="7"/>
      <c r="G380" s="7"/>
      <c r="J380" s="7"/>
      <c r="K380" s="7"/>
      <c r="L380" s="7"/>
      <c r="O380" s="7"/>
      <c r="P380" s="7"/>
      <c r="Q380" s="7"/>
      <c r="R380" s="7"/>
      <c r="S380" s="7"/>
    </row>
    <row r="381" ht="14.25" customHeight="1">
      <c r="E381" s="7"/>
      <c r="F381" s="7"/>
      <c r="G381" s="7"/>
      <c r="J381" s="7"/>
      <c r="K381" s="7"/>
      <c r="L381" s="7"/>
      <c r="O381" s="7"/>
      <c r="P381" s="7"/>
      <c r="Q381" s="7"/>
      <c r="R381" s="7"/>
      <c r="S381" s="7"/>
    </row>
    <row r="382" ht="14.25" customHeight="1">
      <c r="E382" s="7"/>
      <c r="F382" s="7"/>
      <c r="G382" s="7"/>
      <c r="J382" s="7"/>
      <c r="K382" s="7"/>
      <c r="L382" s="7"/>
      <c r="O382" s="7"/>
      <c r="P382" s="7"/>
      <c r="Q382" s="7"/>
      <c r="R382" s="7"/>
      <c r="S382" s="7"/>
    </row>
    <row r="383" ht="14.25" customHeight="1">
      <c r="E383" s="7"/>
      <c r="F383" s="7"/>
      <c r="G383" s="7"/>
      <c r="J383" s="7"/>
      <c r="K383" s="7"/>
      <c r="L383" s="7"/>
      <c r="O383" s="7"/>
      <c r="P383" s="7"/>
      <c r="Q383" s="7"/>
      <c r="R383" s="7"/>
      <c r="S383" s="7"/>
    </row>
    <row r="384" ht="14.25" customHeight="1">
      <c r="E384" s="7"/>
      <c r="F384" s="7"/>
      <c r="G384" s="7"/>
      <c r="J384" s="7"/>
      <c r="K384" s="7"/>
      <c r="L384" s="7"/>
      <c r="O384" s="7"/>
      <c r="P384" s="7"/>
      <c r="Q384" s="7"/>
      <c r="R384" s="7"/>
      <c r="S384" s="7"/>
    </row>
    <row r="385" ht="14.25" customHeight="1">
      <c r="E385" s="7"/>
      <c r="F385" s="7"/>
      <c r="G385" s="7"/>
      <c r="J385" s="7"/>
      <c r="K385" s="7"/>
      <c r="L385" s="7"/>
      <c r="O385" s="7"/>
      <c r="P385" s="7"/>
      <c r="Q385" s="7"/>
      <c r="R385" s="7"/>
      <c r="S385" s="7"/>
    </row>
    <row r="386" ht="14.25" customHeight="1">
      <c r="E386" s="7"/>
      <c r="F386" s="7"/>
      <c r="G386" s="7"/>
      <c r="J386" s="7"/>
      <c r="K386" s="7"/>
      <c r="L386" s="7"/>
      <c r="O386" s="7"/>
      <c r="P386" s="7"/>
      <c r="Q386" s="7"/>
      <c r="R386" s="7"/>
      <c r="S386" s="7"/>
    </row>
    <row r="387" ht="14.25" customHeight="1">
      <c r="E387" s="7"/>
      <c r="F387" s="7"/>
      <c r="G387" s="7"/>
      <c r="J387" s="7"/>
      <c r="K387" s="7"/>
      <c r="L387" s="7"/>
      <c r="O387" s="7"/>
      <c r="P387" s="7"/>
      <c r="Q387" s="7"/>
      <c r="R387" s="7"/>
      <c r="S387" s="7"/>
    </row>
    <row r="388" ht="14.25" customHeight="1">
      <c r="E388" s="7"/>
      <c r="F388" s="7"/>
      <c r="G388" s="7"/>
      <c r="J388" s="7"/>
      <c r="K388" s="7"/>
      <c r="L388" s="7"/>
      <c r="O388" s="7"/>
      <c r="P388" s="7"/>
      <c r="Q388" s="7"/>
      <c r="R388" s="7"/>
      <c r="S388" s="7"/>
    </row>
    <row r="389" ht="14.25" customHeight="1">
      <c r="E389" s="7"/>
      <c r="F389" s="7"/>
      <c r="G389" s="7"/>
      <c r="J389" s="7"/>
      <c r="K389" s="7"/>
      <c r="L389" s="7"/>
      <c r="O389" s="7"/>
      <c r="P389" s="7"/>
      <c r="Q389" s="7"/>
      <c r="R389" s="7"/>
      <c r="S389" s="7"/>
    </row>
    <row r="390" ht="14.25" customHeight="1">
      <c r="E390" s="7"/>
      <c r="F390" s="7"/>
      <c r="G390" s="7"/>
      <c r="J390" s="7"/>
      <c r="K390" s="7"/>
      <c r="L390" s="7"/>
      <c r="O390" s="7"/>
      <c r="P390" s="7"/>
      <c r="Q390" s="7"/>
      <c r="R390" s="7"/>
      <c r="S390" s="7"/>
    </row>
    <row r="391" ht="14.25" customHeight="1">
      <c r="E391" s="7"/>
      <c r="F391" s="7"/>
      <c r="G391" s="7"/>
      <c r="J391" s="7"/>
      <c r="K391" s="7"/>
      <c r="L391" s="7"/>
      <c r="O391" s="7"/>
      <c r="P391" s="7"/>
      <c r="Q391" s="7"/>
      <c r="R391" s="7"/>
      <c r="S391" s="7"/>
    </row>
    <row r="392" ht="14.25" customHeight="1">
      <c r="E392" s="7"/>
      <c r="F392" s="7"/>
      <c r="G392" s="7"/>
      <c r="J392" s="7"/>
      <c r="K392" s="7"/>
      <c r="L392" s="7"/>
      <c r="O392" s="7"/>
      <c r="P392" s="7"/>
      <c r="Q392" s="7"/>
      <c r="R392" s="7"/>
      <c r="S392" s="7"/>
    </row>
    <row r="393" ht="14.25" customHeight="1">
      <c r="E393" s="7"/>
      <c r="F393" s="7"/>
      <c r="G393" s="7"/>
      <c r="J393" s="7"/>
      <c r="K393" s="7"/>
      <c r="L393" s="7"/>
      <c r="O393" s="7"/>
      <c r="P393" s="7"/>
      <c r="Q393" s="7"/>
      <c r="R393" s="7"/>
      <c r="S393" s="7"/>
    </row>
    <row r="394" ht="14.25" customHeight="1">
      <c r="E394" s="7"/>
      <c r="F394" s="7"/>
      <c r="G394" s="7"/>
      <c r="J394" s="7"/>
      <c r="K394" s="7"/>
      <c r="L394" s="7"/>
      <c r="O394" s="7"/>
      <c r="P394" s="7"/>
      <c r="Q394" s="7"/>
      <c r="R394" s="7"/>
      <c r="S394" s="7"/>
    </row>
    <row r="395" ht="14.25" customHeight="1">
      <c r="E395" s="7"/>
      <c r="F395" s="7"/>
      <c r="G395" s="7"/>
      <c r="J395" s="7"/>
      <c r="K395" s="7"/>
      <c r="L395" s="7"/>
      <c r="O395" s="7"/>
      <c r="P395" s="7"/>
      <c r="Q395" s="7"/>
      <c r="R395" s="7"/>
      <c r="S395" s="7"/>
    </row>
    <row r="396" ht="14.25" customHeight="1">
      <c r="E396" s="7"/>
      <c r="F396" s="7"/>
      <c r="G396" s="7"/>
      <c r="J396" s="7"/>
      <c r="K396" s="7"/>
      <c r="L396" s="7"/>
      <c r="O396" s="7"/>
      <c r="P396" s="7"/>
      <c r="Q396" s="7"/>
      <c r="R396" s="7"/>
      <c r="S396" s="7"/>
    </row>
    <row r="397" ht="14.25" customHeight="1">
      <c r="E397" s="7"/>
      <c r="F397" s="7"/>
      <c r="G397" s="7"/>
      <c r="J397" s="7"/>
      <c r="K397" s="7"/>
      <c r="L397" s="7"/>
      <c r="O397" s="7"/>
      <c r="P397" s="7"/>
      <c r="Q397" s="7"/>
      <c r="R397" s="7"/>
      <c r="S397" s="7"/>
    </row>
    <row r="398" ht="14.25" customHeight="1">
      <c r="E398" s="7"/>
      <c r="F398" s="7"/>
      <c r="G398" s="7"/>
      <c r="J398" s="7"/>
      <c r="K398" s="7"/>
      <c r="L398" s="7"/>
      <c r="O398" s="7"/>
      <c r="P398" s="7"/>
      <c r="Q398" s="7"/>
      <c r="R398" s="7"/>
      <c r="S398" s="7"/>
    </row>
    <row r="399" ht="14.25" customHeight="1">
      <c r="E399" s="7"/>
      <c r="F399" s="7"/>
      <c r="G399" s="7"/>
      <c r="J399" s="7"/>
      <c r="K399" s="7"/>
      <c r="L399" s="7"/>
      <c r="O399" s="7"/>
      <c r="P399" s="7"/>
      <c r="Q399" s="7"/>
      <c r="R399" s="7"/>
      <c r="S399" s="7"/>
    </row>
    <row r="400" ht="14.25" customHeight="1">
      <c r="E400" s="7"/>
      <c r="F400" s="7"/>
      <c r="G400" s="7"/>
      <c r="J400" s="7"/>
      <c r="K400" s="7"/>
      <c r="L400" s="7"/>
      <c r="O400" s="7"/>
      <c r="P400" s="7"/>
      <c r="Q400" s="7"/>
      <c r="R400" s="7"/>
      <c r="S400" s="7"/>
    </row>
    <row r="401" ht="14.25" customHeight="1">
      <c r="E401" s="7"/>
      <c r="F401" s="7"/>
      <c r="G401" s="7"/>
      <c r="J401" s="7"/>
      <c r="K401" s="7"/>
      <c r="L401" s="7"/>
      <c r="O401" s="7"/>
      <c r="P401" s="7"/>
      <c r="Q401" s="7"/>
      <c r="R401" s="7"/>
      <c r="S401" s="7"/>
    </row>
    <row r="402" ht="14.25" customHeight="1">
      <c r="E402" s="7"/>
      <c r="F402" s="7"/>
      <c r="G402" s="7"/>
      <c r="J402" s="7"/>
      <c r="K402" s="7"/>
      <c r="L402" s="7"/>
      <c r="O402" s="7"/>
      <c r="P402" s="7"/>
      <c r="Q402" s="7"/>
      <c r="R402" s="7"/>
      <c r="S402" s="7"/>
    </row>
    <row r="403" ht="14.25" customHeight="1">
      <c r="E403" s="7"/>
      <c r="F403" s="7"/>
      <c r="G403" s="7"/>
      <c r="J403" s="7"/>
      <c r="K403" s="7"/>
      <c r="L403" s="7"/>
      <c r="O403" s="7"/>
      <c r="P403" s="7"/>
      <c r="Q403" s="7"/>
      <c r="R403" s="7"/>
      <c r="S403" s="7"/>
    </row>
    <row r="404" ht="14.25" customHeight="1">
      <c r="E404" s="7"/>
      <c r="F404" s="7"/>
      <c r="G404" s="7"/>
      <c r="J404" s="7"/>
      <c r="K404" s="7"/>
      <c r="L404" s="7"/>
      <c r="O404" s="7"/>
      <c r="P404" s="7"/>
      <c r="Q404" s="7"/>
      <c r="R404" s="7"/>
      <c r="S404" s="7"/>
    </row>
    <row r="405" ht="14.25" customHeight="1">
      <c r="E405" s="7"/>
      <c r="F405" s="7"/>
      <c r="G405" s="7"/>
      <c r="J405" s="7"/>
      <c r="K405" s="7"/>
      <c r="L405" s="7"/>
      <c r="O405" s="7"/>
      <c r="P405" s="7"/>
      <c r="Q405" s="7"/>
      <c r="R405" s="7"/>
      <c r="S405" s="7"/>
    </row>
    <row r="406" ht="14.25" customHeight="1">
      <c r="E406" s="7"/>
      <c r="F406" s="7"/>
      <c r="G406" s="7"/>
      <c r="J406" s="7"/>
      <c r="K406" s="7"/>
      <c r="L406" s="7"/>
      <c r="O406" s="7"/>
      <c r="P406" s="7"/>
      <c r="Q406" s="7"/>
      <c r="R406" s="7"/>
      <c r="S406" s="7"/>
    </row>
    <row r="407" ht="14.25" customHeight="1">
      <c r="E407" s="7"/>
      <c r="F407" s="7"/>
      <c r="G407" s="7"/>
      <c r="J407" s="7"/>
      <c r="K407" s="7"/>
      <c r="L407" s="7"/>
      <c r="O407" s="7"/>
      <c r="P407" s="7"/>
      <c r="Q407" s="7"/>
      <c r="R407" s="7"/>
      <c r="S407" s="7"/>
    </row>
    <row r="408" ht="14.25" customHeight="1">
      <c r="E408" s="7"/>
      <c r="F408" s="7"/>
      <c r="G408" s="7"/>
      <c r="J408" s="7"/>
      <c r="K408" s="7"/>
      <c r="L408" s="7"/>
      <c r="O408" s="7"/>
      <c r="P408" s="7"/>
      <c r="Q408" s="7"/>
      <c r="R408" s="7"/>
      <c r="S408" s="7"/>
    </row>
    <row r="409" ht="14.25" customHeight="1">
      <c r="E409" s="7"/>
      <c r="F409" s="7"/>
      <c r="G409" s="7"/>
      <c r="J409" s="7"/>
      <c r="K409" s="7"/>
      <c r="L409" s="7"/>
      <c r="O409" s="7"/>
      <c r="P409" s="7"/>
      <c r="Q409" s="7"/>
      <c r="R409" s="7"/>
      <c r="S409" s="7"/>
    </row>
    <row r="410" ht="14.25" customHeight="1">
      <c r="E410" s="7"/>
      <c r="F410" s="7"/>
      <c r="G410" s="7"/>
      <c r="J410" s="7"/>
      <c r="K410" s="7"/>
      <c r="L410" s="7"/>
      <c r="O410" s="7"/>
      <c r="P410" s="7"/>
      <c r="Q410" s="7"/>
      <c r="R410" s="7"/>
      <c r="S410" s="7"/>
    </row>
    <row r="411" ht="14.25" customHeight="1">
      <c r="E411" s="7"/>
      <c r="F411" s="7"/>
      <c r="G411" s="7"/>
      <c r="J411" s="7"/>
      <c r="K411" s="7"/>
      <c r="L411" s="7"/>
      <c r="O411" s="7"/>
      <c r="P411" s="7"/>
      <c r="Q411" s="7"/>
      <c r="R411" s="7"/>
      <c r="S411" s="7"/>
    </row>
    <row r="412" ht="14.25" customHeight="1">
      <c r="E412" s="7"/>
      <c r="F412" s="7"/>
      <c r="G412" s="7"/>
      <c r="J412" s="7"/>
      <c r="K412" s="7"/>
      <c r="L412" s="7"/>
      <c r="O412" s="7"/>
      <c r="P412" s="7"/>
      <c r="Q412" s="7"/>
      <c r="R412" s="7"/>
      <c r="S412" s="7"/>
    </row>
    <row r="413" ht="14.25" customHeight="1">
      <c r="E413" s="7"/>
      <c r="F413" s="7"/>
      <c r="G413" s="7"/>
      <c r="J413" s="7"/>
      <c r="K413" s="7"/>
      <c r="L413" s="7"/>
      <c r="O413" s="7"/>
      <c r="P413" s="7"/>
      <c r="Q413" s="7"/>
      <c r="R413" s="7"/>
      <c r="S413" s="7"/>
    </row>
    <row r="414" ht="14.25" customHeight="1">
      <c r="E414" s="7"/>
      <c r="F414" s="7"/>
      <c r="G414" s="7"/>
      <c r="J414" s="7"/>
      <c r="K414" s="7"/>
      <c r="L414" s="7"/>
      <c r="O414" s="7"/>
      <c r="P414" s="7"/>
      <c r="Q414" s="7"/>
      <c r="R414" s="7"/>
      <c r="S414" s="7"/>
    </row>
    <row r="415" ht="14.25" customHeight="1">
      <c r="E415" s="7"/>
      <c r="F415" s="7"/>
      <c r="G415" s="7"/>
      <c r="J415" s="7"/>
      <c r="K415" s="7"/>
      <c r="L415" s="7"/>
      <c r="O415" s="7"/>
      <c r="P415" s="7"/>
      <c r="Q415" s="7"/>
      <c r="R415" s="7"/>
      <c r="S415" s="7"/>
    </row>
    <row r="416" ht="14.25" customHeight="1">
      <c r="E416" s="7"/>
      <c r="F416" s="7"/>
      <c r="G416" s="7"/>
      <c r="J416" s="7"/>
      <c r="K416" s="7"/>
      <c r="L416" s="7"/>
      <c r="O416" s="7"/>
      <c r="P416" s="7"/>
      <c r="Q416" s="7"/>
      <c r="R416" s="7"/>
      <c r="S416" s="7"/>
    </row>
    <row r="417" ht="14.25" customHeight="1">
      <c r="E417" s="7"/>
      <c r="F417" s="7"/>
      <c r="G417" s="7"/>
      <c r="J417" s="7"/>
      <c r="K417" s="7"/>
      <c r="L417" s="7"/>
      <c r="O417" s="7"/>
      <c r="P417" s="7"/>
      <c r="Q417" s="7"/>
      <c r="R417" s="7"/>
      <c r="S417" s="7"/>
    </row>
    <row r="418" ht="14.25" customHeight="1">
      <c r="E418" s="7"/>
      <c r="F418" s="7"/>
      <c r="G418" s="7"/>
      <c r="J418" s="7"/>
      <c r="K418" s="7"/>
      <c r="L418" s="7"/>
      <c r="O418" s="7"/>
      <c r="P418" s="7"/>
      <c r="Q418" s="7"/>
      <c r="R418" s="7"/>
      <c r="S418" s="7"/>
    </row>
    <row r="419" ht="14.25" customHeight="1">
      <c r="E419" s="7"/>
      <c r="F419" s="7"/>
      <c r="G419" s="7"/>
      <c r="J419" s="7"/>
      <c r="K419" s="7"/>
      <c r="L419" s="7"/>
      <c r="O419" s="7"/>
      <c r="P419" s="7"/>
      <c r="Q419" s="7"/>
      <c r="R419" s="7"/>
      <c r="S419" s="7"/>
    </row>
    <row r="420" ht="14.25" customHeight="1">
      <c r="E420" s="7"/>
      <c r="F420" s="7"/>
      <c r="G420" s="7"/>
      <c r="J420" s="7"/>
      <c r="K420" s="7"/>
      <c r="L420" s="7"/>
      <c r="O420" s="7"/>
      <c r="P420" s="7"/>
      <c r="Q420" s="7"/>
      <c r="R420" s="7"/>
      <c r="S420" s="7"/>
    </row>
    <row r="421" ht="14.25" customHeight="1">
      <c r="E421" s="7"/>
      <c r="F421" s="7"/>
      <c r="G421" s="7"/>
      <c r="J421" s="7"/>
      <c r="K421" s="7"/>
      <c r="L421" s="7"/>
      <c r="O421" s="7"/>
      <c r="P421" s="7"/>
      <c r="Q421" s="7"/>
      <c r="R421" s="7"/>
      <c r="S421" s="7"/>
    </row>
    <row r="422" ht="14.25" customHeight="1">
      <c r="E422" s="7"/>
      <c r="F422" s="7"/>
      <c r="G422" s="7"/>
      <c r="J422" s="7"/>
      <c r="K422" s="7"/>
      <c r="L422" s="7"/>
      <c r="O422" s="7"/>
      <c r="P422" s="7"/>
      <c r="Q422" s="7"/>
      <c r="R422" s="7"/>
      <c r="S422" s="7"/>
    </row>
    <row r="423" ht="14.25" customHeight="1">
      <c r="E423" s="7"/>
      <c r="F423" s="7"/>
      <c r="G423" s="7"/>
      <c r="J423" s="7"/>
      <c r="K423" s="7"/>
      <c r="L423" s="7"/>
      <c r="O423" s="7"/>
      <c r="P423" s="7"/>
      <c r="Q423" s="7"/>
      <c r="R423" s="7"/>
      <c r="S423" s="7"/>
    </row>
    <row r="424" ht="14.25" customHeight="1">
      <c r="E424" s="7"/>
      <c r="F424" s="7"/>
      <c r="G424" s="7"/>
      <c r="J424" s="7"/>
      <c r="K424" s="7"/>
      <c r="L424" s="7"/>
      <c r="O424" s="7"/>
      <c r="P424" s="7"/>
      <c r="Q424" s="7"/>
      <c r="R424" s="7"/>
      <c r="S424" s="7"/>
    </row>
    <row r="425" ht="14.25" customHeight="1">
      <c r="E425" s="7"/>
      <c r="F425" s="7"/>
      <c r="G425" s="7"/>
      <c r="J425" s="7"/>
      <c r="K425" s="7"/>
      <c r="L425" s="7"/>
      <c r="O425" s="7"/>
      <c r="P425" s="7"/>
      <c r="Q425" s="7"/>
      <c r="R425" s="7"/>
      <c r="S425" s="7"/>
    </row>
    <row r="426" ht="14.25" customHeight="1">
      <c r="E426" s="7"/>
      <c r="F426" s="7"/>
      <c r="G426" s="7"/>
      <c r="J426" s="7"/>
      <c r="K426" s="7"/>
      <c r="L426" s="7"/>
      <c r="O426" s="7"/>
      <c r="P426" s="7"/>
      <c r="Q426" s="7"/>
      <c r="R426" s="7"/>
      <c r="S426" s="7"/>
    </row>
    <row r="427" ht="14.25" customHeight="1">
      <c r="E427" s="7"/>
      <c r="F427" s="7"/>
      <c r="G427" s="7"/>
      <c r="J427" s="7"/>
      <c r="K427" s="7"/>
      <c r="L427" s="7"/>
      <c r="O427" s="7"/>
      <c r="P427" s="7"/>
      <c r="Q427" s="7"/>
      <c r="R427" s="7"/>
      <c r="S427" s="7"/>
    </row>
    <row r="428" ht="14.25" customHeight="1">
      <c r="E428" s="7"/>
      <c r="F428" s="7"/>
      <c r="G428" s="7"/>
      <c r="J428" s="7"/>
      <c r="K428" s="7"/>
      <c r="L428" s="7"/>
      <c r="O428" s="7"/>
      <c r="P428" s="7"/>
      <c r="Q428" s="7"/>
      <c r="R428" s="7"/>
      <c r="S428" s="7"/>
    </row>
    <row r="429" ht="14.25" customHeight="1">
      <c r="E429" s="7"/>
      <c r="F429" s="7"/>
      <c r="G429" s="7"/>
      <c r="J429" s="7"/>
      <c r="K429" s="7"/>
      <c r="L429" s="7"/>
      <c r="O429" s="7"/>
      <c r="P429" s="7"/>
      <c r="Q429" s="7"/>
      <c r="R429" s="7"/>
      <c r="S429" s="7"/>
    </row>
    <row r="430" ht="14.25" customHeight="1">
      <c r="E430" s="7"/>
      <c r="F430" s="7"/>
      <c r="G430" s="7"/>
      <c r="J430" s="7"/>
      <c r="K430" s="7"/>
      <c r="L430" s="7"/>
      <c r="O430" s="7"/>
      <c r="P430" s="7"/>
      <c r="Q430" s="7"/>
      <c r="R430" s="7"/>
      <c r="S430" s="7"/>
    </row>
    <row r="431" ht="14.25" customHeight="1">
      <c r="E431" s="7"/>
      <c r="F431" s="7"/>
      <c r="G431" s="7"/>
      <c r="J431" s="7"/>
      <c r="K431" s="7"/>
      <c r="L431" s="7"/>
      <c r="O431" s="7"/>
      <c r="P431" s="7"/>
      <c r="Q431" s="7"/>
      <c r="R431" s="7"/>
      <c r="S431" s="7"/>
    </row>
    <row r="432" ht="14.25" customHeight="1">
      <c r="E432" s="7"/>
      <c r="F432" s="7"/>
      <c r="G432" s="7"/>
      <c r="J432" s="7"/>
      <c r="K432" s="7"/>
      <c r="L432" s="7"/>
      <c r="O432" s="7"/>
      <c r="P432" s="7"/>
      <c r="Q432" s="7"/>
      <c r="R432" s="7"/>
      <c r="S432" s="7"/>
    </row>
    <row r="433" ht="14.25" customHeight="1">
      <c r="E433" s="7"/>
      <c r="F433" s="7"/>
      <c r="G433" s="7"/>
      <c r="J433" s="7"/>
      <c r="K433" s="7"/>
      <c r="L433" s="7"/>
      <c r="O433" s="7"/>
      <c r="P433" s="7"/>
      <c r="Q433" s="7"/>
      <c r="R433" s="7"/>
      <c r="S433" s="7"/>
    </row>
    <row r="434" ht="14.25" customHeight="1">
      <c r="E434" s="7"/>
      <c r="F434" s="7"/>
      <c r="G434" s="7"/>
      <c r="J434" s="7"/>
      <c r="K434" s="7"/>
      <c r="L434" s="7"/>
      <c r="O434" s="7"/>
      <c r="P434" s="7"/>
      <c r="Q434" s="7"/>
      <c r="R434" s="7"/>
      <c r="S434" s="7"/>
    </row>
    <row r="435" ht="14.25" customHeight="1">
      <c r="E435" s="7"/>
      <c r="F435" s="7"/>
      <c r="G435" s="7"/>
      <c r="J435" s="7"/>
      <c r="K435" s="7"/>
      <c r="L435" s="7"/>
      <c r="O435" s="7"/>
      <c r="P435" s="7"/>
      <c r="Q435" s="7"/>
      <c r="R435" s="7"/>
      <c r="S435" s="7"/>
    </row>
    <row r="436" ht="14.25" customHeight="1">
      <c r="E436" s="7"/>
      <c r="F436" s="7"/>
      <c r="G436" s="7"/>
      <c r="J436" s="7"/>
      <c r="K436" s="7"/>
      <c r="L436" s="7"/>
      <c r="O436" s="7"/>
      <c r="P436" s="7"/>
      <c r="Q436" s="7"/>
      <c r="R436" s="7"/>
      <c r="S436" s="7"/>
    </row>
    <row r="437" ht="14.25" customHeight="1">
      <c r="E437" s="7"/>
      <c r="F437" s="7"/>
      <c r="G437" s="7"/>
      <c r="J437" s="7"/>
      <c r="K437" s="7"/>
      <c r="L437" s="7"/>
      <c r="O437" s="7"/>
      <c r="P437" s="7"/>
      <c r="Q437" s="7"/>
      <c r="R437" s="7"/>
      <c r="S437" s="7"/>
    </row>
    <row r="438" ht="14.25" customHeight="1">
      <c r="E438" s="7"/>
      <c r="F438" s="7"/>
      <c r="G438" s="7"/>
      <c r="J438" s="7"/>
      <c r="K438" s="7"/>
      <c r="L438" s="7"/>
      <c r="O438" s="7"/>
      <c r="P438" s="7"/>
      <c r="Q438" s="7"/>
      <c r="R438" s="7"/>
      <c r="S438" s="7"/>
    </row>
    <row r="439" ht="14.25" customHeight="1">
      <c r="E439" s="7"/>
      <c r="F439" s="7"/>
      <c r="G439" s="7"/>
      <c r="J439" s="7"/>
      <c r="K439" s="7"/>
      <c r="L439" s="7"/>
      <c r="O439" s="7"/>
      <c r="P439" s="7"/>
      <c r="Q439" s="7"/>
      <c r="R439" s="7"/>
      <c r="S439" s="7"/>
    </row>
    <row r="440" ht="14.25" customHeight="1">
      <c r="E440" s="7"/>
      <c r="F440" s="7"/>
      <c r="G440" s="7"/>
      <c r="J440" s="7"/>
      <c r="K440" s="7"/>
      <c r="L440" s="7"/>
      <c r="O440" s="7"/>
      <c r="P440" s="7"/>
      <c r="Q440" s="7"/>
      <c r="R440" s="7"/>
      <c r="S440" s="7"/>
    </row>
    <row r="441" ht="14.25" customHeight="1">
      <c r="E441" s="7"/>
      <c r="F441" s="7"/>
      <c r="G441" s="7"/>
      <c r="J441" s="7"/>
      <c r="K441" s="7"/>
      <c r="L441" s="7"/>
      <c r="O441" s="7"/>
      <c r="P441" s="7"/>
      <c r="Q441" s="7"/>
      <c r="R441" s="7"/>
      <c r="S441" s="7"/>
    </row>
    <row r="442" ht="14.25" customHeight="1">
      <c r="E442" s="7"/>
      <c r="F442" s="7"/>
      <c r="G442" s="7"/>
      <c r="J442" s="7"/>
      <c r="K442" s="7"/>
      <c r="L442" s="7"/>
      <c r="O442" s="7"/>
      <c r="P442" s="7"/>
      <c r="Q442" s="7"/>
      <c r="R442" s="7"/>
      <c r="S442" s="7"/>
    </row>
    <row r="443" ht="14.25" customHeight="1">
      <c r="E443" s="7"/>
      <c r="F443" s="7"/>
      <c r="G443" s="7"/>
      <c r="J443" s="7"/>
      <c r="K443" s="7"/>
      <c r="L443" s="7"/>
      <c r="O443" s="7"/>
      <c r="P443" s="7"/>
      <c r="Q443" s="7"/>
      <c r="R443" s="7"/>
      <c r="S443" s="7"/>
    </row>
    <row r="444" ht="14.25" customHeight="1">
      <c r="E444" s="7"/>
      <c r="F444" s="7"/>
      <c r="G444" s="7"/>
      <c r="J444" s="7"/>
      <c r="K444" s="7"/>
      <c r="L444" s="7"/>
      <c r="O444" s="7"/>
      <c r="P444" s="7"/>
      <c r="Q444" s="7"/>
      <c r="R444" s="7"/>
      <c r="S444" s="7"/>
    </row>
    <row r="445" ht="14.25" customHeight="1">
      <c r="E445" s="7"/>
      <c r="F445" s="7"/>
      <c r="G445" s="7"/>
      <c r="J445" s="7"/>
      <c r="K445" s="7"/>
      <c r="L445" s="7"/>
      <c r="O445" s="7"/>
      <c r="P445" s="7"/>
      <c r="Q445" s="7"/>
      <c r="R445" s="7"/>
      <c r="S445" s="7"/>
    </row>
    <row r="446" ht="14.25" customHeight="1">
      <c r="E446" s="7"/>
      <c r="F446" s="7"/>
      <c r="G446" s="7"/>
      <c r="J446" s="7"/>
      <c r="K446" s="7"/>
      <c r="L446" s="7"/>
      <c r="O446" s="7"/>
      <c r="P446" s="7"/>
      <c r="Q446" s="7"/>
      <c r="R446" s="7"/>
      <c r="S446" s="7"/>
    </row>
    <row r="447" ht="14.25" customHeight="1">
      <c r="E447" s="7"/>
      <c r="F447" s="7"/>
      <c r="G447" s="7"/>
      <c r="J447" s="7"/>
      <c r="K447" s="7"/>
      <c r="L447" s="7"/>
      <c r="O447" s="7"/>
      <c r="P447" s="7"/>
      <c r="Q447" s="7"/>
      <c r="R447" s="7"/>
      <c r="S447" s="7"/>
    </row>
    <row r="448" ht="14.25" customHeight="1">
      <c r="E448" s="7"/>
      <c r="F448" s="7"/>
      <c r="G448" s="7"/>
      <c r="J448" s="7"/>
      <c r="K448" s="7"/>
      <c r="L448" s="7"/>
      <c r="O448" s="7"/>
      <c r="P448" s="7"/>
      <c r="Q448" s="7"/>
      <c r="R448" s="7"/>
      <c r="S448" s="7"/>
    </row>
    <row r="449" ht="14.25" customHeight="1">
      <c r="E449" s="7"/>
      <c r="F449" s="7"/>
      <c r="G449" s="7"/>
      <c r="J449" s="7"/>
      <c r="K449" s="7"/>
      <c r="L449" s="7"/>
      <c r="O449" s="7"/>
      <c r="P449" s="7"/>
      <c r="Q449" s="7"/>
      <c r="R449" s="7"/>
      <c r="S449" s="7"/>
    </row>
    <row r="450" ht="14.25" customHeight="1">
      <c r="E450" s="7"/>
      <c r="F450" s="7"/>
      <c r="G450" s="7"/>
      <c r="J450" s="7"/>
      <c r="K450" s="7"/>
      <c r="L450" s="7"/>
      <c r="O450" s="7"/>
      <c r="P450" s="7"/>
      <c r="Q450" s="7"/>
      <c r="R450" s="7"/>
      <c r="S450" s="7"/>
    </row>
    <row r="451" ht="14.25" customHeight="1">
      <c r="E451" s="7"/>
      <c r="F451" s="7"/>
      <c r="G451" s="7"/>
      <c r="J451" s="7"/>
      <c r="K451" s="7"/>
      <c r="L451" s="7"/>
      <c r="O451" s="7"/>
      <c r="P451" s="7"/>
      <c r="Q451" s="7"/>
      <c r="R451" s="7"/>
      <c r="S451" s="7"/>
    </row>
    <row r="452" ht="14.25" customHeight="1">
      <c r="E452" s="7"/>
      <c r="F452" s="7"/>
      <c r="G452" s="7"/>
      <c r="J452" s="7"/>
      <c r="K452" s="7"/>
      <c r="L452" s="7"/>
      <c r="O452" s="7"/>
      <c r="P452" s="7"/>
      <c r="Q452" s="7"/>
      <c r="R452" s="7"/>
      <c r="S452" s="7"/>
    </row>
    <row r="453" ht="14.25" customHeight="1">
      <c r="E453" s="7"/>
      <c r="F453" s="7"/>
      <c r="G453" s="7"/>
      <c r="J453" s="7"/>
      <c r="K453" s="7"/>
      <c r="L453" s="7"/>
      <c r="O453" s="7"/>
      <c r="P453" s="7"/>
      <c r="Q453" s="7"/>
      <c r="R453" s="7"/>
      <c r="S453" s="7"/>
    </row>
    <row r="454" ht="14.25" customHeight="1">
      <c r="E454" s="7"/>
      <c r="F454" s="7"/>
      <c r="G454" s="7"/>
      <c r="J454" s="7"/>
      <c r="K454" s="7"/>
      <c r="L454" s="7"/>
      <c r="O454" s="7"/>
      <c r="P454" s="7"/>
      <c r="Q454" s="7"/>
      <c r="R454" s="7"/>
      <c r="S454" s="7"/>
    </row>
    <row r="455" ht="14.25" customHeight="1">
      <c r="E455" s="7"/>
      <c r="F455" s="7"/>
      <c r="G455" s="7"/>
      <c r="J455" s="7"/>
      <c r="K455" s="7"/>
      <c r="L455" s="7"/>
      <c r="O455" s="7"/>
      <c r="P455" s="7"/>
      <c r="Q455" s="7"/>
      <c r="R455" s="7"/>
      <c r="S455" s="7"/>
    </row>
    <row r="456" ht="14.25" customHeight="1">
      <c r="E456" s="7"/>
      <c r="F456" s="7"/>
      <c r="G456" s="7"/>
      <c r="J456" s="7"/>
      <c r="K456" s="7"/>
      <c r="L456" s="7"/>
      <c r="O456" s="7"/>
      <c r="P456" s="7"/>
      <c r="Q456" s="7"/>
      <c r="R456" s="7"/>
      <c r="S456" s="7"/>
    </row>
    <row r="457" ht="14.25" customHeight="1">
      <c r="E457" s="7"/>
      <c r="F457" s="7"/>
      <c r="G457" s="7"/>
      <c r="J457" s="7"/>
      <c r="K457" s="7"/>
      <c r="L457" s="7"/>
      <c r="O457" s="7"/>
      <c r="P457" s="7"/>
      <c r="Q457" s="7"/>
      <c r="R457" s="7"/>
      <c r="S457" s="7"/>
    </row>
    <row r="458" ht="14.25" customHeight="1">
      <c r="E458" s="7"/>
      <c r="F458" s="7"/>
      <c r="G458" s="7"/>
      <c r="J458" s="7"/>
      <c r="K458" s="7"/>
      <c r="L458" s="7"/>
      <c r="O458" s="7"/>
      <c r="P458" s="7"/>
      <c r="Q458" s="7"/>
      <c r="R458" s="7"/>
      <c r="S458" s="7"/>
    </row>
    <row r="459" ht="14.25" customHeight="1">
      <c r="E459" s="7"/>
      <c r="F459" s="7"/>
      <c r="G459" s="7"/>
      <c r="J459" s="7"/>
      <c r="K459" s="7"/>
      <c r="L459" s="7"/>
      <c r="O459" s="7"/>
      <c r="P459" s="7"/>
      <c r="Q459" s="7"/>
      <c r="R459" s="7"/>
      <c r="S459" s="7"/>
    </row>
    <row r="460" ht="14.25" customHeight="1">
      <c r="E460" s="7"/>
      <c r="F460" s="7"/>
      <c r="G460" s="7"/>
      <c r="J460" s="7"/>
      <c r="K460" s="7"/>
      <c r="L460" s="7"/>
      <c r="O460" s="7"/>
      <c r="P460" s="7"/>
      <c r="Q460" s="7"/>
      <c r="R460" s="7"/>
      <c r="S460" s="7"/>
    </row>
    <row r="461" ht="14.25" customHeight="1">
      <c r="E461" s="7"/>
      <c r="F461" s="7"/>
      <c r="G461" s="7"/>
      <c r="J461" s="7"/>
      <c r="K461" s="7"/>
      <c r="L461" s="7"/>
      <c r="O461" s="7"/>
      <c r="P461" s="7"/>
      <c r="Q461" s="7"/>
      <c r="R461" s="7"/>
      <c r="S461" s="7"/>
    </row>
    <row r="462" ht="14.25" customHeight="1">
      <c r="E462" s="7"/>
      <c r="F462" s="7"/>
      <c r="G462" s="7"/>
      <c r="J462" s="7"/>
      <c r="K462" s="7"/>
      <c r="L462" s="7"/>
      <c r="O462" s="7"/>
      <c r="P462" s="7"/>
      <c r="Q462" s="7"/>
      <c r="R462" s="7"/>
      <c r="S462" s="7"/>
    </row>
    <row r="463" ht="14.25" customHeight="1">
      <c r="E463" s="7"/>
      <c r="F463" s="7"/>
      <c r="G463" s="7"/>
      <c r="J463" s="7"/>
      <c r="K463" s="7"/>
      <c r="L463" s="7"/>
      <c r="O463" s="7"/>
      <c r="P463" s="7"/>
      <c r="Q463" s="7"/>
      <c r="R463" s="7"/>
      <c r="S463" s="7"/>
    </row>
    <row r="464" ht="14.25" customHeight="1">
      <c r="E464" s="7"/>
      <c r="F464" s="7"/>
      <c r="G464" s="7"/>
      <c r="J464" s="7"/>
      <c r="K464" s="7"/>
      <c r="L464" s="7"/>
      <c r="O464" s="7"/>
      <c r="P464" s="7"/>
      <c r="Q464" s="7"/>
      <c r="R464" s="7"/>
      <c r="S464" s="7"/>
    </row>
    <row r="465" ht="14.25" customHeight="1">
      <c r="E465" s="7"/>
      <c r="F465" s="7"/>
      <c r="G465" s="7"/>
      <c r="J465" s="7"/>
      <c r="K465" s="7"/>
      <c r="L465" s="7"/>
      <c r="O465" s="7"/>
      <c r="P465" s="7"/>
      <c r="Q465" s="7"/>
      <c r="R465" s="7"/>
      <c r="S465" s="7"/>
    </row>
    <row r="466" ht="14.25" customHeight="1">
      <c r="E466" s="7"/>
      <c r="F466" s="7"/>
      <c r="G466" s="7"/>
      <c r="J466" s="7"/>
      <c r="K466" s="7"/>
      <c r="L466" s="7"/>
      <c r="O466" s="7"/>
      <c r="P466" s="7"/>
      <c r="Q466" s="7"/>
      <c r="R466" s="7"/>
      <c r="S466" s="7"/>
    </row>
    <row r="467" ht="14.25" customHeight="1">
      <c r="E467" s="7"/>
      <c r="F467" s="7"/>
      <c r="G467" s="7"/>
      <c r="J467" s="7"/>
      <c r="K467" s="7"/>
      <c r="L467" s="7"/>
      <c r="O467" s="7"/>
      <c r="P467" s="7"/>
      <c r="Q467" s="7"/>
      <c r="R467" s="7"/>
      <c r="S467" s="7"/>
    </row>
    <row r="468" ht="14.25" customHeight="1">
      <c r="E468" s="7"/>
      <c r="F468" s="7"/>
      <c r="G468" s="7"/>
      <c r="J468" s="7"/>
      <c r="K468" s="7"/>
      <c r="L468" s="7"/>
      <c r="O468" s="7"/>
      <c r="P468" s="7"/>
      <c r="Q468" s="7"/>
      <c r="R468" s="7"/>
      <c r="S468" s="7"/>
    </row>
    <row r="469" ht="14.25" customHeight="1">
      <c r="E469" s="7"/>
      <c r="F469" s="7"/>
      <c r="G469" s="7"/>
      <c r="J469" s="7"/>
      <c r="K469" s="7"/>
      <c r="L469" s="7"/>
      <c r="O469" s="7"/>
      <c r="P469" s="7"/>
      <c r="Q469" s="7"/>
      <c r="R469" s="7"/>
      <c r="S469" s="7"/>
    </row>
    <row r="470" ht="14.25" customHeight="1">
      <c r="E470" s="7"/>
      <c r="F470" s="7"/>
      <c r="G470" s="7"/>
      <c r="J470" s="7"/>
      <c r="K470" s="7"/>
      <c r="L470" s="7"/>
      <c r="O470" s="7"/>
      <c r="P470" s="7"/>
      <c r="Q470" s="7"/>
      <c r="R470" s="7"/>
      <c r="S470" s="7"/>
    </row>
    <row r="471" ht="14.25" customHeight="1">
      <c r="E471" s="7"/>
      <c r="F471" s="7"/>
      <c r="G471" s="7"/>
      <c r="J471" s="7"/>
      <c r="K471" s="7"/>
      <c r="L471" s="7"/>
      <c r="O471" s="7"/>
      <c r="P471" s="7"/>
      <c r="Q471" s="7"/>
      <c r="R471" s="7"/>
      <c r="S471" s="7"/>
    </row>
    <row r="472" ht="14.25" customHeight="1">
      <c r="E472" s="7"/>
      <c r="F472" s="7"/>
      <c r="G472" s="7"/>
      <c r="J472" s="7"/>
      <c r="K472" s="7"/>
      <c r="L472" s="7"/>
      <c r="O472" s="7"/>
      <c r="P472" s="7"/>
      <c r="Q472" s="7"/>
      <c r="R472" s="7"/>
      <c r="S472" s="7"/>
    </row>
    <row r="473" ht="14.25" customHeight="1">
      <c r="E473" s="7"/>
      <c r="F473" s="7"/>
      <c r="G473" s="7"/>
      <c r="J473" s="7"/>
      <c r="K473" s="7"/>
      <c r="L473" s="7"/>
      <c r="O473" s="7"/>
      <c r="P473" s="7"/>
      <c r="Q473" s="7"/>
      <c r="R473" s="7"/>
      <c r="S473" s="7"/>
    </row>
    <row r="474" ht="14.25" customHeight="1">
      <c r="E474" s="7"/>
      <c r="F474" s="7"/>
      <c r="G474" s="7"/>
      <c r="J474" s="7"/>
      <c r="K474" s="7"/>
      <c r="L474" s="7"/>
      <c r="O474" s="7"/>
      <c r="P474" s="7"/>
      <c r="Q474" s="7"/>
      <c r="R474" s="7"/>
      <c r="S474" s="7"/>
    </row>
    <row r="475" ht="14.25" customHeight="1">
      <c r="E475" s="7"/>
      <c r="F475" s="7"/>
      <c r="G475" s="7"/>
      <c r="J475" s="7"/>
      <c r="K475" s="7"/>
      <c r="L475" s="7"/>
      <c r="O475" s="7"/>
      <c r="P475" s="7"/>
      <c r="Q475" s="7"/>
      <c r="R475" s="7"/>
      <c r="S475" s="7"/>
    </row>
    <row r="476" ht="14.25" customHeight="1">
      <c r="E476" s="7"/>
      <c r="F476" s="7"/>
      <c r="G476" s="7"/>
      <c r="J476" s="7"/>
      <c r="K476" s="7"/>
      <c r="L476" s="7"/>
      <c r="O476" s="7"/>
      <c r="P476" s="7"/>
      <c r="Q476" s="7"/>
      <c r="R476" s="7"/>
      <c r="S476" s="7"/>
    </row>
    <row r="477" ht="14.25" customHeight="1">
      <c r="E477" s="7"/>
      <c r="F477" s="7"/>
      <c r="G477" s="7"/>
      <c r="J477" s="7"/>
      <c r="K477" s="7"/>
      <c r="L477" s="7"/>
      <c r="O477" s="7"/>
      <c r="P477" s="7"/>
      <c r="Q477" s="7"/>
      <c r="R477" s="7"/>
      <c r="S477" s="7"/>
    </row>
    <row r="478" ht="14.25" customHeight="1">
      <c r="E478" s="7"/>
      <c r="F478" s="7"/>
      <c r="G478" s="7"/>
      <c r="J478" s="7"/>
      <c r="K478" s="7"/>
      <c r="L478" s="7"/>
      <c r="O478" s="7"/>
      <c r="P478" s="7"/>
      <c r="Q478" s="7"/>
      <c r="R478" s="7"/>
      <c r="S478" s="7"/>
    </row>
    <row r="479" ht="14.25" customHeight="1">
      <c r="E479" s="7"/>
      <c r="F479" s="7"/>
      <c r="G479" s="7"/>
      <c r="J479" s="7"/>
      <c r="K479" s="7"/>
      <c r="L479" s="7"/>
      <c r="O479" s="7"/>
      <c r="P479" s="7"/>
      <c r="Q479" s="7"/>
      <c r="R479" s="7"/>
      <c r="S479" s="7"/>
    </row>
    <row r="480" ht="14.25" customHeight="1">
      <c r="E480" s="7"/>
      <c r="F480" s="7"/>
      <c r="G480" s="7"/>
      <c r="J480" s="7"/>
      <c r="K480" s="7"/>
      <c r="L480" s="7"/>
      <c r="O480" s="7"/>
      <c r="P480" s="7"/>
      <c r="Q480" s="7"/>
      <c r="R480" s="7"/>
      <c r="S480" s="7"/>
    </row>
    <row r="481" ht="14.25" customHeight="1">
      <c r="E481" s="7"/>
      <c r="F481" s="7"/>
      <c r="G481" s="7"/>
      <c r="J481" s="7"/>
      <c r="K481" s="7"/>
      <c r="L481" s="7"/>
      <c r="O481" s="7"/>
      <c r="P481" s="7"/>
      <c r="Q481" s="7"/>
      <c r="R481" s="7"/>
      <c r="S481" s="7"/>
    </row>
    <row r="482" ht="14.25" customHeight="1">
      <c r="E482" s="7"/>
      <c r="F482" s="7"/>
      <c r="G482" s="7"/>
      <c r="J482" s="7"/>
      <c r="K482" s="7"/>
      <c r="L482" s="7"/>
      <c r="O482" s="7"/>
      <c r="P482" s="7"/>
      <c r="Q482" s="7"/>
      <c r="R482" s="7"/>
      <c r="S482" s="7"/>
    </row>
    <row r="483" ht="14.25" customHeight="1">
      <c r="E483" s="7"/>
      <c r="F483" s="7"/>
      <c r="G483" s="7"/>
      <c r="J483" s="7"/>
      <c r="K483" s="7"/>
      <c r="L483" s="7"/>
      <c r="O483" s="7"/>
      <c r="P483" s="7"/>
      <c r="Q483" s="7"/>
      <c r="R483" s="7"/>
      <c r="S483" s="7"/>
    </row>
    <row r="484" ht="14.25" customHeight="1">
      <c r="E484" s="7"/>
      <c r="F484" s="7"/>
      <c r="G484" s="7"/>
      <c r="J484" s="7"/>
      <c r="K484" s="7"/>
      <c r="L484" s="7"/>
      <c r="O484" s="7"/>
      <c r="P484" s="7"/>
      <c r="Q484" s="7"/>
      <c r="R484" s="7"/>
      <c r="S484" s="7"/>
    </row>
    <row r="485" ht="14.25" customHeight="1">
      <c r="E485" s="7"/>
      <c r="F485" s="7"/>
      <c r="G485" s="7"/>
      <c r="J485" s="7"/>
      <c r="K485" s="7"/>
      <c r="L485" s="7"/>
      <c r="O485" s="7"/>
      <c r="P485" s="7"/>
      <c r="Q485" s="7"/>
      <c r="R485" s="7"/>
      <c r="S485" s="7"/>
    </row>
    <row r="486" ht="14.25" customHeight="1">
      <c r="E486" s="7"/>
      <c r="F486" s="7"/>
      <c r="G486" s="7"/>
      <c r="J486" s="7"/>
      <c r="K486" s="7"/>
      <c r="L486" s="7"/>
      <c r="O486" s="7"/>
      <c r="P486" s="7"/>
      <c r="Q486" s="7"/>
      <c r="R486" s="7"/>
      <c r="S486" s="7"/>
    </row>
    <row r="487" ht="14.25" customHeight="1">
      <c r="E487" s="7"/>
      <c r="F487" s="7"/>
      <c r="G487" s="7"/>
      <c r="J487" s="7"/>
      <c r="K487" s="7"/>
      <c r="L487" s="7"/>
      <c r="O487" s="7"/>
      <c r="P487" s="7"/>
      <c r="Q487" s="7"/>
      <c r="R487" s="7"/>
      <c r="S487" s="7"/>
    </row>
    <row r="488" ht="14.25" customHeight="1">
      <c r="E488" s="7"/>
      <c r="F488" s="7"/>
      <c r="G488" s="7"/>
      <c r="J488" s="7"/>
      <c r="K488" s="7"/>
      <c r="L488" s="7"/>
      <c r="O488" s="7"/>
      <c r="P488" s="7"/>
      <c r="Q488" s="7"/>
      <c r="R488" s="7"/>
      <c r="S488" s="7"/>
    </row>
    <row r="489" ht="14.25" customHeight="1">
      <c r="E489" s="7"/>
      <c r="F489" s="7"/>
      <c r="G489" s="7"/>
      <c r="J489" s="7"/>
      <c r="K489" s="7"/>
      <c r="L489" s="7"/>
      <c r="O489" s="7"/>
      <c r="P489" s="7"/>
      <c r="Q489" s="7"/>
      <c r="R489" s="7"/>
      <c r="S489" s="7"/>
    </row>
    <row r="490" ht="14.25" customHeight="1">
      <c r="E490" s="7"/>
      <c r="F490" s="7"/>
      <c r="G490" s="7"/>
      <c r="J490" s="7"/>
      <c r="K490" s="7"/>
      <c r="L490" s="7"/>
      <c r="O490" s="7"/>
      <c r="P490" s="7"/>
      <c r="Q490" s="7"/>
      <c r="R490" s="7"/>
      <c r="S490" s="7"/>
    </row>
    <row r="491" ht="14.25" customHeight="1">
      <c r="E491" s="7"/>
      <c r="F491" s="7"/>
      <c r="G491" s="7"/>
      <c r="J491" s="7"/>
      <c r="K491" s="7"/>
      <c r="L491" s="7"/>
      <c r="O491" s="7"/>
      <c r="P491" s="7"/>
      <c r="Q491" s="7"/>
      <c r="R491" s="7"/>
      <c r="S491" s="7"/>
    </row>
    <row r="492" ht="14.25" customHeight="1">
      <c r="E492" s="7"/>
      <c r="F492" s="7"/>
      <c r="G492" s="7"/>
      <c r="J492" s="7"/>
      <c r="K492" s="7"/>
      <c r="L492" s="7"/>
      <c r="O492" s="7"/>
      <c r="P492" s="7"/>
      <c r="Q492" s="7"/>
      <c r="R492" s="7"/>
      <c r="S492" s="7"/>
    </row>
    <row r="493" ht="14.25" customHeight="1">
      <c r="E493" s="7"/>
      <c r="F493" s="7"/>
      <c r="G493" s="7"/>
      <c r="J493" s="7"/>
      <c r="K493" s="7"/>
      <c r="L493" s="7"/>
      <c r="O493" s="7"/>
      <c r="P493" s="7"/>
      <c r="Q493" s="7"/>
      <c r="R493" s="7"/>
      <c r="S493" s="7"/>
    </row>
    <row r="494" ht="14.25" customHeight="1">
      <c r="E494" s="7"/>
      <c r="F494" s="7"/>
      <c r="G494" s="7"/>
      <c r="J494" s="7"/>
      <c r="K494" s="7"/>
      <c r="L494" s="7"/>
      <c r="O494" s="7"/>
      <c r="P494" s="7"/>
      <c r="Q494" s="7"/>
      <c r="R494" s="7"/>
      <c r="S494" s="7"/>
    </row>
    <row r="495" ht="14.25" customHeight="1">
      <c r="E495" s="7"/>
      <c r="F495" s="7"/>
      <c r="G495" s="7"/>
      <c r="J495" s="7"/>
      <c r="K495" s="7"/>
      <c r="L495" s="7"/>
      <c r="O495" s="7"/>
      <c r="P495" s="7"/>
      <c r="Q495" s="7"/>
      <c r="R495" s="7"/>
      <c r="S495" s="7"/>
    </row>
    <row r="496" ht="14.25" customHeight="1">
      <c r="E496" s="7"/>
      <c r="F496" s="7"/>
      <c r="G496" s="7"/>
      <c r="J496" s="7"/>
      <c r="K496" s="7"/>
      <c r="L496" s="7"/>
      <c r="O496" s="7"/>
      <c r="P496" s="7"/>
      <c r="Q496" s="7"/>
      <c r="R496" s="7"/>
      <c r="S496" s="7"/>
    </row>
    <row r="497" ht="14.25" customHeight="1">
      <c r="E497" s="7"/>
      <c r="F497" s="7"/>
      <c r="G497" s="7"/>
      <c r="J497" s="7"/>
      <c r="K497" s="7"/>
      <c r="L497" s="7"/>
      <c r="O497" s="7"/>
      <c r="P497" s="7"/>
      <c r="Q497" s="7"/>
      <c r="R497" s="7"/>
      <c r="S497" s="7"/>
    </row>
    <row r="498" ht="14.25" customHeight="1">
      <c r="E498" s="7"/>
      <c r="F498" s="7"/>
      <c r="G498" s="7"/>
      <c r="J498" s="7"/>
      <c r="K498" s="7"/>
      <c r="L498" s="7"/>
      <c r="O498" s="7"/>
      <c r="P498" s="7"/>
      <c r="Q498" s="7"/>
      <c r="R498" s="7"/>
      <c r="S498" s="7"/>
    </row>
    <row r="499" ht="14.25" customHeight="1">
      <c r="E499" s="7"/>
      <c r="F499" s="7"/>
      <c r="G499" s="7"/>
      <c r="J499" s="7"/>
      <c r="K499" s="7"/>
      <c r="L499" s="7"/>
      <c r="O499" s="7"/>
      <c r="P499" s="7"/>
      <c r="Q499" s="7"/>
      <c r="R499" s="7"/>
      <c r="S499" s="7"/>
    </row>
    <row r="500" ht="14.25" customHeight="1">
      <c r="E500" s="7"/>
      <c r="F500" s="7"/>
      <c r="G500" s="7"/>
      <c r="J500" s="7"/>
      <c r="K500" s="7"/>
      <c r="L500" s="7"/>
      <c r="O500" s="7"/>
      <c r="P500" s="7"/>
      <c r="Q500" s="7"/>
      <c r="R500" s="7"/>
      <c r="S500" s="7"/>
    </row>
    <row r="501" ht="14.25" customHeight="1">
      <c r="E501" s="7"/>
      <c r="F501" s="7"/>
      <c r="G501" s="7"/>
      <c r="J501" s="7"/>
      <c r="K501" s="7"/>
      <c r="L501" s="7"/>
      <c r="O501" s="7"/>
      <c r="P501" s="7"/>
      <c r="Q501" s="7"/>
      <c r="R501" s="7"/>
      <c r="S501" s="7"/>
    </row>
    <row r="502" ht="14.25" customHeight="1">
      <c r="E502" s="7"/>
      <c r="F502" s="7"/>
      <c r="G502" s="7"/>
      <c r="J502" s="7"/>
      <c r="K502" s="7"/>
      <c r="L502" s="7"/>
      <c r="O502" s="7"/>
      <c r="P502" s="7"/>
      <c r="Q502" s="7"/>
      <c r="R502" s="7"/>
      <c r="S502" s="7"/>
    </row>
    <row r="503" ht="14.25" customHeight="1">
      <c r="E503" s="7"/>
      <c r="F503" s="7"/>
      <c r="G503" s="7"/>
      <c r="J503" s="7"/>
      <c r="K503" s="7"/>
      <c r="L503" s="7"/>
      <c r="O503" s="7"/>
      <c r="P503" s="7"/>
      <c r="Q503" s="7"/>
      <c r="R503" s="7"/>
      <c r="S503" s="7"/>
    </row>
    <row r="504" ht="14.25" customHeight="1">
      <c r="E504" s="7"/>
      <c r="F504" s="7"/>
      <c r="G504" s="7"/>
      <c r="J504" s="7"/>
      <c r="K504" s="7"/>
      <c r="L504" s="7"/>
      <c r="O504" s="7"/>
      <c r="P504" s="7"/>
      <c r="Q504" s="7"/>
      <c r="R504" s="7"/>
      <c r="S504" s="7"/>
    </row>
    <row r="505" ht="14.25" customHeight="1">
      <c r="E505" s="7"/>
      <c r="F505" s="7"/>
      <c r="G505" s="7"/>
      <c r="J505" s="7"/>
      <c r="K505" s="7"/>
      <c r="L505" s="7"/>
      <c r="O505" s="7"/>
      <c r="P505" s="7"/>
      <c r="Q505" s="7"/>
      <c r="R505" s="7"/>
      <c r="S505" s="7"/>
    </row>
    <row r="506" ht="14.25" customHeight="1">
      <c r="E506" s="7"/>
      <c r="F506" s="7"/>
      <c r="G506" s="7"/>
      <c r="J506" s="7"/>
      <c r="K506" s="7"/>
      <c r="L506" s="7"/>
      <c r="O506" s="7"/>
      <c r="P506" s="7"/>
      <c r="Q506" s="7"/>
      <c r="R506" s="7"/>
      <c r="S506" s="7"/>
    </row>
    <row r="507" ht="14.25" customHeight="1">
      <c r="E507" s="7"/>
      <c r="F507" s="7"/>
      <c r="G507" s="7"/>
      <c r="J507" s="7"/>
      <c r="K507" s="7"/>
      <c r="L507" s="7"/>
      <c r="O507" s="7"/>
      <c r="P507" s="7"/>
      <c r="Q507" s="7"/>
      <c r="R507" s="7"/>
      <c r="S507" s="7"/>
    </row>
    <row r="508" ht="14.25" customHeight="1">
      <c r="E508" s="7"/>
      <c r="F508" s="7"/>
      <c r="G508" s="7"/>
      <c r="J508" s="7"/>
      <c r="K508" s="7"/>
      <c r="L508" s="7"/>
      <c r="O508" s="7"/>
      <c r="P508" s="7"/>
      <c r="Q508" s="7"/>
      <c r="R508" s="7"/>
      <c r="S508" s="7"/>
    </row>
    <row r="509" ht="14.25" customHeight="1">
      <c r="E509" s="7"/>
      <c r="F509" s="7"/>
      <c r="G509" s="7"/>
      <c r="J509" s="7"/>
      <c r="K509" s="7"/>
      <c r="L509" s="7"/>
      <c r="O509" s="7"/>
      <c r="P509" s="7"/>
      <c r="Q509" s="7"/>
      <c r="R509" s="7"/>
      <c r="S509" s="7"/>
    </row>
    <row r="510" ht="14.25" customHeight="1">
      <c r="E510" s="7"/>
      <c r="F510" s="7"/>
      <c r="G510" s="7"/>
      <c r="J510" s="7"/>
      <c r="K510" s="7"/>
      <c r="L510" s="7"/>
      <c r="O510" s="7"/>
      <c r="P510" s="7"/>
      <c r="Q510" s="7"/>
      <c r="R510" s="7"/>
      <c r="S510" s="7"/>
    </row>
    <row r="511" ht="14.25" customHeight="1">
      <c r="E511" s="7"/>
      <c r="F511" s="7"/>
      <c r="G511" s="7"/>
      <c r="J511" s="7"/>
      <c r="K511" s="7"/>
      <c r="L511" s="7"/>
      <c r="O511" s="7"/>
      <c r="P511" s="7"/>
      <c r="Q511" s="7"/>
      <c r="R511" s="7"/>
      <c r="S511" s="7"/>
    </row>
    <row r="512" ht="14.25" customHeight="1">
      <c r="E512" s="7"/>
      <c r="F512" s="7"/>
      <c r="G512" s="7"/>
      <c r="J512" s="7"/>
      <c r="K512" s="7"/>
      <c r="L512" s="7"/>
      <c r="O512" s="7"/>
      <c r="P512" s="7"/>
      <c r="Q512" s="7"/>
      <c r="R512" s="7"/>
      <c r="S512" s="7"/>
    </row>
    <row r="513" ht="14.25" customHeight="1">
      <c r="E513" s="7"/>
      <c r="F513" s="7"/>
      <c r="G513" s="7"/>
      <c r="J513" s="7"/>
      <c r="K513" s="7"/>
      <c r="L513" s="7"/>
      <c r="O513" s="7"/>
      <c r="P513" s="7"/>
      <c r="Q513" s="7"/>
      <c r="R513" s="7"/>
      <c r="S513" s="7"/>
    </row>
    <row r="514" ht="14.25" customHeight="1">
      <c r="E514" s="7"/>
      <c r="F514" s="7"/>
      <c r="G514" s="7"/>
      <c r="J514" s="7"/>
      <c r="K514" s="7"/>
      <c r="L514" s="7"/>
      <c r="O514" s="7"/>
      <c r="P514" s="7"/>
      <c r="Q514" s="7"/>
      <c r="R514" s="7"/>
      <c r="S514" s="7"/>
    </row>
    <row r="515" ht="14.25" customHeight="1">
      <c r="E515" s="7"/>
      <c r="F515" s="7"/>
      <c r="G515" s="7"/>
      <c r="J515" s="7"/>
      <c r="K515" s="7"/>
      <c r="L515" s="7"/>
      <c r="O515" s="7"/>
      <c r="P515" s="7"/>
      <c r="Q515" s="7"/>
      <c r="R515" s="7"/>
      <c r="S515" s="7"/>
    </row>
    <row r="516" ht="14.25" customHeight="1">
      <c r="E516" s="7"/>
      <c r="F516" s="7"/>
      <c r="G516" s="7"/>
      <c r="J516" s="7"/>
      <c r="K516" s="7"/>
      <c r="L516" s="7"/>
      <c r="O516" s="7"/>
      <c r="P516" s="7"/>
      <c r="Q516" s="7"/>
      <c r="R516" s="7"/>
      <c r="S516" s="7"/>
    </row>
    <row r="517" ht="14.25" customHeight="1">
      <c r="E517" s="7"/>
      <c r="F517" s="7"/>
      <c r="G517" s="7"/>
      <c r="J517" s="7"/>
      <c r="K517" s="7"/>
      <c r="L517" s="7"/>
      <c r="O517" s="7"/>
      <c r="P517" s="7"/>
      <c r="Q517" s="7"/>
      <c r="R517" s="7"/>
      <c r="S517" s="7"/>
    </row>
    <row r="518" ht="14.25" customHeight="1">
      <c r="E518" s="7"/>
      <c r="F518" s="7"/>
      <c r="G518" s="7"/>
      <c r="J518" s="7"/>
      <c r="K518" s="7"/>
      <c r="L518" s="7"/>
      <c r="O518" s="7"/>
      <c r="P518" s="7"/>
      <c r="Q518" s="7"/>
      <c r="R518" s="7"/>
      <c r="S518" s="7"/>
    </row>
    <row r="519" ht="14.25" customHeight="1">
      <c r="E519" s="7"/>
      <c r="F519" s="7"/>
      <c r="G519" s="7"/>
      <c r="J519" s="7"/>
      <c r="K519" s="7"/>
      <c r="L519" s="7"/>
      <c r="O519" s="7"/>
      <c r="P519" s="7"/>
      <c r="Q519" s="7"/>
      <c r="R519" s="7"/>
      <c r="S519" s="7"/>
    </row>
    <row r="520" ht="14.25" customHeight="1">
      <c r="E520" s="7"/>
      <c r="F520" s="7"/>
      <c r="G520" s="7"/>
      <c r="J520" s="7"/>
      <c r="K520" s="7"/>
      <c r="L520" s="7"/>
      <c r="O520" s="7"/>
      <c r="P520" s="7"/>
      <c r="Q520" s="7"/>
      <c r="R520" s="7"/>
      <c r="S520" s="7"/>
    </row>
    <row r="521" ht="14.25" customHeight="1">
      <c r="E521" s="7"/>
      <c r="F521" s="7"/>
      <c r="G521" s="7"/>
      <c r="J521" s="7"/>
      <c r="K521" s="7"/>
      <c r="L521" s="7"/>
      <c r="O521" s="7"/>
      <c r="P521" s="7"/>
      <c r="Q521" s="7"/>
      <c r="R521" s="7"/>
      <c r="S521" s="7"/>
    </row>
    <row r="522" ht="14.25" customHeight="1">
      <c r="E522" s="7"/>
      <c r="F522" s="7"/>
      <c r="G522" s="7"/>
      <c r="J522" s="7"/>
      <c r="K522" s="7"/>
      <c r="L522" s="7"/>
      <c r="O522" s="7"/>
      <c r="P522" s="7"/>
      <c r="Q522" s="7"/>
      <c r="R522" s="7"/>
      <c r="S522" s="7"/>
    </row>
    <row r="523" ht="14.25" customHeight="1">
      <c r="E523" s="7"/>
      <c r="F523" s="7"/>
      <c r="G523" s="7"/>
      <c r="J523" s="7"/>
      <c r="K523" s="7"/>
      <c r="L523" s="7"/>
      <c r="O523" s="7"/>
      <c r="P523" s="7"/>
      <c r="Q523" s="7"/>
      <c r="R523" s="7"/>
      <c r="S523" s="7"/>
    </row>
    <row r="524" ht="14.25" customHeight="1">
      <c r="E524" s="7"/>
      <c r="F524" s="7"/>
      <c r="G524" s="7"/>
      <c r="J524" s="7"/>
      <c r="K524" s="7"/>
      <c r="L524" s="7"/>
      <c r="O524" s="7"/>
      <c r="P524" s="7"/>
      <c r="Q524" s="7"/>
      <c r="R524" s="7"/>
      <c r="S524" s="7"/>
    </row>
    <row r="525" ht="14.25" customHeight="1">
      <c r="E525" s="7"/>
      <c r="F525" s="7"/>
      <c r="G525" s="7"/>
      <c r="J525" s="7"/>
      <c r="K525" s="7"/>
      <c r="L525" s="7"/>
      <c r="O525" s="7"/>
      <c r="P525" s="7"/>
      <c r="Q525" s="7"/>
      <c r="R525" s="7"/>
      <c r="S525" s="7"/>
    </row>
    <row r="526" ht="14.25" customHeight="1">
      <c r="E526" s="7"/>
      <c r="F526" s="7"/>
      <c r="G526" s="7"/>
      <c r="J526" s="7"/>
      <c r="K526" s="7"/>
      <c r="L526" s="7"/>
      <c r="O526" s="7"/>
      <c r="P526" s="7"/>
      <c r="Q526" s="7"/>
      <c r="R526" s="7"/>
      <c r="S526" s="7"/>
    </row>
    <row r="527" ht="14.25" customHeight="1">
      <c r="E527" s="7"/>
      <c r="F527" s="7"/>
      <c r="G527" s="7"/>
      <c r="J527" s="7"/>
      <c r="K527" s="7"/>
      <c r="L527" s="7"/>
      <c r="O527" s="7"/>
      <c r="P527" s="7"/>
      <c r="Q527" s="7"/>
      <c r="R527" s="7"/>
      <c r="S527" s="7"/>
    </row>
    <row r="528" ht="14.25" customHeight="1">
      <c r="E528" s="7"/>
      <c r="F528" s="7"/>
      <c r="G528" s="7"/>
      <c r="J528" s="7"/>
      <c r="K528" s="7"/>
      <c r="L528" s="7"/>
      <c r="O528" s="7"/>
      <c r="P528" s="7"/>
      <c r="Q528" s="7"/>
      <c r="R528" s="7"/>
      <c r="S528" s="7"/>
    </row>
    <row r="529" ht="14.25" customHeight="1">
      <c r="E529" s="7"/>
      <c r="F529" s="7"/>
      <c r="G529" s="7"/>
      <c r="J529" s="7"/>
      <c r="K529" s="7"/>
      <c r="L529" s="7"/>
      <c r="O529" s="7"/>
      <c r="P529" s="7"/>
      <c r="Q529" s="7"/>
      <c r="R529" s="7"/>
      <c r="S529" s="7"/>
    </row>
    <row r="530" ht="14.25" customHeight="1">
      <c r="E530" s="7"/>
      <c r="F530" s="7"/>
      <c r="G530" s="7"/>
      <c r="J530" s="7"/>
      <c r="K530" s="7"/>
      <c r="L530" s="7"/>
      <c r="O530" s="7"/>
      <c r="P530" s="7"/>
      <c r="Q530" s="7"/>
      <c r="R530" s="7"/>
      <c r="S530" s="7"/>
    </row>
    <row r="531" ht="14.25" customHeight="1">
      <c r="E531" s="7"/>
      <c r="F531" s="7"/>
      <c r="G531" s="7"/>
      <c r="J531" s="7"/>
      <c r="K531" s="7"/>
      <c r="L531" s="7"/>
      <c r="O531" s="7"/>
      <c r="P531" s="7"/>
      <c r="Q531" s="7"/>
      <c r="R531" s="7"/>
      <c r="S531" s="7"/>
    </row>
    <row r="532" ht="14.25" customHeight="1">
      <c r="E532" s="7"/>
      <c r="F532" s="7"/>
      <c r="G532" s="7"/>
      <c r="J532" s="7"/>
      <c r="K532" s="7"/>
      <c r="L532" s="7"/>
      <c r="O532" s="7"/>
      <c r="P532" s="7"/>
      <c r="Q532" s="7"/>
      <c r="R532" s="7"/>
      <c r="S532" s="7"/>
    </row>
    <row r="533" ht="14.25" customHeight="1">
      <c r="E533" s="7"/>
      <c r="F533" s="7"/>
      <c r="G533" s="7"/>
      <c r="J533" s="7"/>
      <c r="K533" s="7"/>
      <c r="L533" s="7"/>
      <c r="O533" s="7"/>
      <c r="P533" s="7"/>
      <c r="Q533" s="7"/>
      <c r="R533" s="7"/>
      <c r="S533" s="7"/>
    </row>
    <row r="534" ht="14.25" customHeight="1">
      <c r="E534" s="7"/>
      <c r="F534" s="7"/>
      <c r="G534" s="7"/>
      <c r="J534" s="7"/>
      <c r="K534" s="7"/>
      <c r="L534" s="7"/>
      <c r="O534" s="7"/>
      <c r="P534" s="7"/>
      <c r="Q534" s="7"/>
      <c r="R534" s="7"/>
      <c r="S534" s="7"/>
    </row>
    <row r="535" ht="14.25" customHeight="1">
      <c r="E535" s="7"/>
      <c r="F535" s="7"/>
      <c r="G535" s="7"/>
      <c r="J535" s="7"/>
      <c r="K535" s="7"/>
      <c r="L535" s="7"/>
      <c r="O535" s="7"/>
      <c r="P535" s="7"/>
      <c r="Q535" s="7"/>
      <c r="R535" s="7"/>
      <c r="S535" s="7"/>
    </row>
    <row r="536" ht="14.25" customHeight="1">
      <c r="E536" s="7"/>
      <c r="F536" s="7"/>
      <c r="G536" s="7"/>
      <c r="J536" s="7"/>
      <c r="K536" s="7"/>
      <c r="L536" s="7"/>
      <c r="O536" s="7"/>
      <c r="P536" s="7"/>
      <c r="Q536" s="7"/>
      <c r="R536" s="7"/>
      <c r="S536" s="7"/>
    </row>
    <row r="537" ht="14.25" customHeight="1">
      <c r="E537" s="7"/>
      <c r="F537" s="7"/>
      <c r="G537" s="7"/>
      <c r="J537" s="7"/>
      <c r="K537" s="7"/>
      <c r="L537" s="7"/>
      <c r="O537" s="7"/>
      <c r="P537" s="7"/>
      <c r="Q537" s="7"/>
      <c r="R537" s="7"/>
      <c r="S537" s="7"/>
    </row>
    <row r="538" ht="14.25" customHeight="1">
      <c r="E538" s="7"/>
      <c r="F538" s="7"/>
      <c r="G538" s="7"/>
      <c r="J538" s="7"/>
      <c r="K538" s="7"/>
      <c r="L538" s="7"/>
      <c r="O538" s="7"/>
      <c r="P538" s="7"/>
      <c r="Q538" s="7"/>
      <c r="R538" s="7"/>
      <c r="S538" s="7"/>
    </row>
    <row r="539" ht="14.25" customHeight="1">
      <c r="E539" s="7"/>
      <c r="F539" s="7"/>
      <c r="G539" s="7"/>
      <c r="J539" s="7"/>
      <c r="K539" s="7"/>
      <c r="L539" s="7"/>
      <c r="O539" s="7"/>
      <c r="P539" s="7"/>
      <c r="Q539" s="7"/>
      <c r="R539" s="7"/>
      <c r="S539" s="7"/>
    </row>
    <row r="540" ht="14.25" customHeight="1">
      <c r="E540" s="7"/>
      <c r="F540" s="7"/>
      <c r="G540" s="7"/>
      <c r="J540" s="7"/>
      <c r="K540" s="7"/>
      <c r="L540" s="7"/>
      <c r="O540" s="7"/>
      <c r="P540" s="7"/>
      <c r="Q540" s="7"/>
      <c r="R540" s="7"/>
      <c r="S540" s="7"/>
    </row>
    <row r="541" ht="14.25" customHeight="1">
      <c r="E541" s="7"/>
      <c r="F541" s="7"/>
      <c r="G541" s="7"/>
      <c r="J541" s="7"/>
      <c r="K541" s="7"/>
      <c r="L541" s="7"/>
      <c r="O541" s="7"/>
      <c r="P541" s="7"/>
      <c r="Q541" s="7"/>
      <c r="R541" s="7"/>
      <c r="S541" s="7"/>
    </row>
    <row r="542" ht="14.25" customHeight="1">
      <c r="E542" s="7"/>
      <c r="F542" s="7"/>
      <c r="G542" s="7"/>
      <c r="J542" s="7"/>
      <c r="K542" s="7"/>
      <c r="L542" s="7"/>
      <c r="O542" s="7"/>
      <c r="P542" s="7"/>
      <c r="Q542" s="7"/>
      <c r="R542" s="7"/>
      <c r="S542" s="7"/>
    </row>
    <row r="543" ht="14.25" customHeight="1">
      <c r="E543" s="7"/>
      <c r="F543" s="7"/>
      <c r="G543" s="7"/>
      <c r="J543" s="7"/>
      <c r="K543" s="7"/>
      <c r="L543" s="7"/>
      <c r="O543" s="7"/>
      <c r="P543" s="7"/>
      <c r="Q543" s="7"/>
      <c r="R543" s="7"/>
      <c r="S543" s="7"/>
    </row>
    <row r="544" ht="14.25" customHeight="1">
      <c r="E544" s="7"/>
      <c r="F544" s="7"/>
      <c r="G544" s="7"/>
      <c r="J544" s="7"/>
      <c r="K544" s="7"/>
      <c r="L544" s="7"/>
      <c r="O544" s="7"/>
      <c r="P544" s="7"/>
      <c r="Q544" s="7"/>
      <c r="R544" s="7"/>
      <c r="S544" s="7"/>
    </row>
    <row r="545" ht="14.25" customHeight="1">
      <c r="E545" s="7"/>
      <c r="F545" s="7"/>
      <c r="G545" s="7"/>
      <c r="J545" s="7"/>
      <c r="K545" s="7"/>
      <c r="L545" s="7"/>
      <c r="O545" s="7"/>
      <c r="P545" s="7"/>
      <c r="Q545" s="7"/>
      <c r="R545" s="7"/>
      <c r="S545" s="7"/>
    </row>
    <row r="546" ht="14.25" customHeight="1">
      <c r="E546" s="7"/>
      <c r="F546" s="7"/>
      <c r="G546" s="7"/>
      <c r="J546" s="7"/>
      <c r="K546" s="7"/>
      <c r="L546" s="7"/>
      <c r="O546" s="7"/>
      <c r="P546" s="7"/>
      <c r="Q546" s="7"/>
      <c r="R546" s="7"/>
      <c r="S546" s="7"/>
    </row>
    <row r="547" ht="14.25" customHeight="1">
      <c r="E547" s="7"/>
      <c r="F547" s="7"/>
      <c r="G547" s="7"/>
      <c r="J547" s="7"/>
      <c r="K547" s="7"/>
      <c r="L547" s="7"/>
      <c r="O547" s="7"/>
      <c r="P547" s="7"/>
      <c r="Q547" s="7"/>
      <c r="R547" s="7"/>
      <c r="S547" s="7"/>
    </row>
    <row r="548" ht="14.25" customHeight="1">
      <c r="E548" s="7"/>
      <c r="F548" s="7"/>
      <c r="G548" s="7"/>
      <c r="J548" s="7"/>
      <c r="K548" s="7"/>
      <c r="L548" s="7"/>
      <c r="O548" s="7"/>
      <c r="P548" s="7"/>
      <c r="Q548" s="7"/>
      <c r="R548" s="7"/>
      <c r="S548" s="7"/>
    </row>
    <row r="549" ht="14.25" customHeight="1">
      <c r="E549" s="7"/>
      <c r="F549" s="7"/>
      <c r="G549" s="7"/>
      <c r="J549" s="7"/>
      <c r="K549" s="7"/>
      <c r="L549" s="7"/>
      <c r="O549" s="7"/>
      <c r="P549" s="7"/>
      <c r="Q549" s="7"/>
      <c r="R549" s="7"/>
      <c r="S549" s="7"/>
    </row>
    <row r="550" ht="14.25" customHeight="1">
      <c r="E550" s="7"/>
      <c r="F550" s="7"/>
      <c r="G550" s="7"/>
      <c r="J550" s="7"/>
      <c r="K550" s="7"/>
      <c r="L550" s="7"/>
      <c r="O550" s="7"/>
      <c r="P550" s="7"/>
      <c r="Q550" s="7"/>
      <c r="R550" s="7"/>
      <c r="S550" s="7"/>
    </row>
    <row r="551" ht="14.25" customHeight="1">
      <c r="E551" s="7"/>
      <c r="F551" s="7"/>
      <c r="G551" s="7"/>
      <c r="J551" s="7"/>
      <c r="K551" s="7"/>
      <c r="L551" s="7"/>
      <c r="O551" s="7"/>
      <c r="P551" s="7"/>
      <c r="Q551" s="7"/>
      <c r="R551" s="7"/>
      <c r="S551" s="7"/>
    </row>
    <row r="552" ht="14.25" customHeight="1">
      <c r="E552" s="7"/>
      <c r="F552" s="7"/>
      <c r="G552" s="7"/>
      <c r="J552" s="7"/>
      <c r="K552" s="7"/>
      <c r="L552" s="7"/>
      <c r="O552" s="7"/>
      <c r="P552" s="7"/>
      <c r="Q552" s="7"/>
      <c r="R552" s="7"/>
      <c r="S552" s="7"/>
    </row>
    <row r="553" ht="14.25" customHeight="1">
      <c r="E553" s="7"/>
      <c r="F553" s="7"/>
      <c r="G553" s="7"/>
      <c r="J553" s="7"/>
      <c r="K553" s="7"/>
      <c r="L553" s="7"/>
      <c r="O553" s="7"/>
      <c r="P553" s="7"/>
      <c r="Q553" s="7"/>
      <c r="R553" s="7"/>
      <c r="S553" s="7"/>
    </row>
    <row r="554" ht="14.25" customHeight="1">
      <c r="E554" s="7"/>
      <c r="F554" s="7"/>
      <c r="G554" s="7"/>
      <c r="J554" s="7"/>
      <c r="K554" s="7"/>
      <c r="L554" s="7"/>
      <c r="O554" s="7"/>
      <c r="P554" s="7"/>
      <c r="Q554" s="7"/>
      <c r="R554" s="7"/>
      <c r="S554" s="7"/>
    </row>
    <row r="555" ht="14.25" customHeight="1">
      <c r="E555" s="7"/>
      <c r="F555" s="7"/>
      <c r="G555" s="7"/>
      <c r="J555" s="7"/>
      <c r="K555" s="7"/>
      <c r="L555" s="7"/>
      <c r="O555" s="7"/>
      <c r="P555" s="7"/>
      <c r="Q555" s="7"/>
      <c r="R555" s="7"/>
      <c r="S555" s="7"/>
    </row>
    <row r="556" ht="14.25" customHeight="1">
      <c r="E556" s="7"/>
      <c r="F556" s="7"/>
      <c r="G556" s="7"/>
      <c r="J556" s="7"/>
      <c r="K556" s="7"/>
      <c r="L556" s="7"/>
      <c r="O556" s="7"/>
      <c r="P556" s="7"/>
      <c r="Q556" s="7"/>
      <c r="R556" s="7"/>
      <c r="S556" s="7"/>
    </row>
    <row r="557" ht="14.25" customHeight="1">
      <c r="E557" s="7"/>
      <c r="F557" s="7"/>
      <c r="G557" s="7"/>
      <c r="J557" s="7"/>
      <c r="K557" s="7"/>
      <c r="L557" s="7"/>
      <c r="O557" s="7"/>
      <c r="P557" s="7"/>
      <c r="Q557" s="7"/>
      <c r="R557" s="7"/>
      <c r="S557" s="7"/>
    </row>
    <row r="558" ht="14.25" customHeight="1">
      <c r="E558" s="7"/>
      <c r="F558" s="7"/>
      <c r="G558" s="7"/>
      <c r="J558" s="7"/>
      <c r="K558" s="7"/>
      <c r="L558" s="7"/>
      <c r="O558" s="7"/>
      <c r="P558" s="7"/>
      <c r="Q558" s="7"/>
      <c r="R558" s="7"/>
      <c r="S558" s="7"/>
    </row>
    <row r="559" ht="14.25" customHeight="1">
      <c r="E559" s="7"/>
      <c r="F559" s="7"/>
      <c r="G559" s="7"/>
      <c r="J559" s="7"/>
      <c r="K559" s="7"/>
      <c r="L559" s="7"/>
      <c r="O559" s="7"/>
      <c r="P559" s="7"/>
      <c r="Q559" s="7"/>
      <c r="R559" s="7"/>
      <c r="S559" s="7"/>
    </row>
    <row r="560" ht="14.25" customHeight="1">
      <c r="E560" s="7"/>
      <c r="F560" s="7"/>
      <c r="G560" s="7"/>
      <c r="J560" s="7"/>
      <c r="K560" s="7"/>
      <c r="L560" s="7"/>
      <c r="O560" s="7"/>
      <c r="P560" s="7"/>
      <c r="Q560" s="7"/>
      <c r="R560" s="7"/>
      <c r="S560" s="7"/>
    </row>
    <row r="561" ht="14.25" customHeight="1">
      <c r="E561" s="7"/>
      <c r="F561" s="7"/>
      <c r="G561" s="7"/>
      <c r="J561" s="7"/>
      <c r="K561" s="7"/>
      <c r="L561" s="7"/>
      <c r="O561" s="7"/>
      <c r="P561" s="7"/>
      <c r="Q561" s="7"/>
      <c r="R561" s="7"/>
      <c r="S561" s="7"/>
    </row>
    <row r="562" ht="14.25" customHeight="1">
      <c r="E562" s="7"/>
      <c r="F562" s="7"/>
      <c r="G562" s="7"/>
      <c r="J562" s="7"/>
      <c r="K562" s="7"/>
      <c r="L562" s="7"/>
      <c r="O562" s="7"/>
      <c r="P562" s="7"/>
      <c r="Q562" s="7"/>
      <c r="R562" s="7"/>
      <c r="S562" s="7"/>
    </row>
    <row r="563" ht="14.25" customHeight="1">
      <c r="E563" s="7"/>
      <c r="F563" s="7"/>
      <c r="G563" s="7"/>
      <c r="J563" s="7"/>
      <c r="K563" s="7"/>
      <c r="L563" s="7"/>
      <c r="O563" s="7"/>
      <c r="P563" s="7"/>
      <c r="Q563" s="7"/>
      <c r="R563" s="7"/>
      <c r="S563" s="7"/>
    </row>
    <row r="564" ht="14.25" customHeight="1">
      <c r="E564" s="7"/>
      <c r="F564" s="7"/>
      <c r="G564" s="7"/>
      <c r="J564" s="7"/>
      <c r="K564" s="7"/>
      <c r="L564" s="7"/>
      <c r="O564" s="7"/>
      <c r="P564" s="7"/>
      <c r="Q564" s="7"/>
      <c r="R564" s="7"/>
      <c r="S564" s="7"/>
    </row>
    <row r="565" ht="14.25" customHeight="1">
      <c r="E565" s="7"/>
      <c r="F565" s="7"/>
      <c r="G565" s="7"/>
      <c r="J565" s="7"/>
      <c r="K565" s="7"/>
      <c r="L565" s="7"/>
      <c r="O565" s="7"/>
      <c r="P565" s="7"/>
      <c r="Q565" s="7"/>
      <c r="R565" s="7"/>
      <c r="S565" s="7"/>
    </row>
    <row r="566" ht="14.25" customHeight="1">
      <c r="E566" s="7"/>
      <c r="F566" s="7"/>
      <c r="G566" s="7"/>
      <c r="J566" s="7"/>
      <c r="K566" s="7"/>
      <c r="L566" s="7"/>
      <c r="O566" s="7"/>
      <c r="P566" s="7"/>
      <c r="Q566" s="7"/>
      <c r="R566" s="7"/>
      <c r="S566" s="7"/>
    </row>
    <row r="567" ht="14.25" customHeight="1">
      <c r="E567" s="7"/>
      <c r="F567" s="7"/>
      <c r="G567" s="7"/>
      <c r="J567" s="7"/>
      <c r="K567" s="7"/>
      <c r="L567" s="7"/>
      <c r="O567" s="7"/>
      <c r="P567" s="7"/>
      <c r="Q567" s="7"/>
      <c r="R567" s="7"/>
      <c r="S567" s="7"/>
    </row>
    <row r="568" ht="14.25" customHeight="1">
      <c r="E568" s="7"/>
      <c r="F568" s="7"/>
      <c r="G568" s="7"/>
      <c r="J568" s="7"/>
      <c r="K568" s="7"/>
      <c r="L568" s="7"/>
      <c r="O568" s="7"/>
      <c r="P568" s="7"/>
      <c r="Q568" s="7"/>
      <c r="R568" s="7"/>
      <c r="S568" s="7"/>
    </row>
    <row r="569" ht="14.25" customHeight="1">
      <c r="E569" s="7"/>
      <c r="F569" s="7"/>
      <c r="G569" s="7"/>
      <c r="J569" s="7"/>
      <c r="K569" s="7"/>
      <c r="L569" s="7"/>
      <c r="O569" s="7"/>
      <c r="P569" s="7"/>
      <c r="Q569" s="7"/>
      <c r="R569" s="7"/>
      <c r="S569" s="7"/>
    </row>
    <row r="570" ht="14.25" customHeight="1">
      <c r="E570" s="7"/>
      <c r="F570" s="7"/>
      <c r="G570" s="7"/>
      <c r="J570" s="7"/>
      <c r="K570" s="7"/>
      <c r="L570" s="7"/>
      <c r="O570" s="7"/>
      <c r="P570" s="7"/>
      <c r="Q570" s="7"/>
      <c r="R570" s="7"/>
      <c r="S570" s="7"/>
    </row>
    <row r="571" ht="14.25" customHeight="1">
      <c r="E571" s="7"/>
      <c r="F571" s="7"/>
      <c r="G571" s="7"/>
      <c r="J571" s="7"/>
      <c r="K571" s="7"/>
      <c r="L571" s="7"/>
      <c r="O571" s="7"/>
      <c r="P571" s="7"/>
      <c r="Q571" s="7"/>
      <c r="R571" s="7"/>
      <c r="S571" s="7"/>
    </row>
    <row r="572" ht="14.25" customHeight="1">
      <c r="E572" s="7"/>
      <c r="F572" s="7"/>
      <c r="G572" s="7"/>
      <c r="J572" s="7"/>
      <c r="K572" s="7"/>
      <c r="L572" s="7"/>
      <c r="O572" s="7"/>
      <c r="P572" s="7"/>
      <c r="Q572" s="7"/>
      <c r="R572" s="7"/>
      <c r="S572" s="7"/>
    </row>
    <row r="573" ht="14.25" customHeight="1">
      <c r="E573" s="7"/>
      <c r="F573" s="7"/>
      <c r="G573" s="7"/>
      <c r="J573" s="7"/>
      <c r="K573" s="7"/>
      <c r="L573" s="7"/>
      <c r="O573" s="7"/>
      <c r="P573" s="7"/>
      <c r="Q573" s="7"/>
      <c r="R573" s="7"/>
      <c r="S573" s="7"/>
    </row>
    <row r="574" ht="14.25" customHeight="1">
      <c r="E574" s="7"/>
      <c r="F574" s="7"/>
      <c r="G574" s="7"/>
      <c r="J574" s="7"/>
      <c r="K574" s="7"/>
      <c r="L574" s="7"/>
      <c r="O574" s="7"/>
      <c r="P574" s="7"/>
      <c r="Q574" s="7"/>
      <c r="R574" s="7"/>
      <c r="S574" s="7"/>
    </row>
    <row r="575" ht="14.25" customHeight="1">
      <c r="E575" s="7"/>
      <c r="F575" s="7"/>
      <c r="G575" s="7"/>
      <c r="J575" s="7"/>
      <c r="K575" s="7"/>
      <c r="L575" s="7"/>
      <c r="O575" s="7"/>
      <c r="P575" s="7"/>
      <c r="Q575" s="7"/>
      <c r="R575" s="7"/>
      <c r="S575" s="7"/>
    </row>
    <row r="576" ht="14.25" customHeight="1">
      <c r="E576" s="7"/>
      <c r="F576" s="7"/>
      <c r="G576" s="7"/>
      <c r="J576" s="7"/>
      <c r="K576" s="7"/>
      <c r="L576" s="7"/>
      <c r="O576" s="7"/>
      <c r="P576" s="7"/>
      <c r="Q576" s="7"/>
      <c r="R576" s="7"/>
      <c r="S576" s="7"/>
    </row>
    <row r="577" ht="14.25" customHeight="1">
      <c r="E577" s="7"/>
      <c r="F577" s="7"/>
      <c r="G577" s="7"/>
      <c r="J577" s="7"/>
      <c r="K577" s="7"/>
      <c r="L577" s="7"/>
      <c r="O577" s="7"/>
      <c r="P577" s="7"/>
      <c r="Q577" s="7"/>
      <c r="R577" s="7"/>
      <c r="S577" s="7"/>
    </row>
    <row r="578" ht="14.25" customHeight="1">
      <c r="E578" s="7"/>
      <c r="F578" s="7"/>
      <c r="G578" s="7"/>
      <c r="J578" s="7"/>
      <c r="K578" s="7"/>
      <c r="L578" s="7"/>
      <c r="O578" s="7"/>
      <c r="P578" s="7"/>
      <c r="Q578" s="7"/>
      <c r="R578" s="7"/>
      <c r="S578" s="7"/>
    </row>
    <row r="579" ht="14.25" customHeight="1">
      <c r="E579" s="7"/>
      <c r="F579" s="7"/>
      <c r="G579" s="7"/>
      <c r="J579" s="7"/>
      <c r="K579" s="7"/>
      <c r="L579" s="7"/>
      <c r="O579" s="7"/>
      <c r="P579" s="7"/>
      <c r="Q579" s="7"/>
      <c r="R579" s="7"/>
      <c r="S579" s="7"/>
    </row>
    <row r="580" ht="14.25" customHeight="1">
      <c r="E580" s="7"/>
      <c r="F580" s="7"/>
      <c r="G580" s="7"/>
      <c r="J580" s="7"/>
      <c r="K580" s="7"/>
      <c r="L580" s="7"/>
      <c r="O580" s="7"/>
      <c r="P580" s="7"/>
      <c r="Q580" s="7"/>
      <c r="R580" s="7"/>
      <c r="S580" s="7"/>
    </row>
    <row r="581" ht="14.25" customHeight="1">
      <c r="E581" s="7"/>
      <c r="F581" s="7"/>
      <c r="G581" s="7"/>
      <c r="J581" s="7"/>
      <c r="K581" s="7"/>
      <c r="L581" s="7"/>
      <c r="O581" s="7"/>
      <c r="P581" s="7"/>
      <c r="Q581" s="7"/>
      <c r="R581" s="7"/>
      <c r="S581" s="7"/>
    </row>
    <row r="582" ht="14.25" customHeight="1">
      <c r="E582" s="7"/>
      <c r="F582" s="7"/>
      <c r="G582" s="7"/>
      <c r="J582" s="7"/>
      <c r="K582" s="7"/>
      <c r="L582" s="7"/>
      <c r="O582" s="7"/>
      <c r="P582" s="7"/>
      <c r="Q582" s="7"/>
      <c r="R582" s="7"/>
      <c r="S582" s="7"/>
    </row>
    <row r="583" ht="14.25" customHeight="1">
      <c r="E583" s="7"/>
      <c r="F583" s="7"/>
      <c r="G583" s="7"/>
      <c r="J583" s="7"/>
      <c r="K583" s="7"/>
      <c r="L583" s="7"/>
      <c r="O583" s="7"/>
      <c r="P583" s="7"/>
      <c r="Q583" s="7"/>
      <c r="R583" s="7"/>
      <c r="S583" s="7"/>
    </row>
    <row r="584" ht="14.25" customHeight="1">
      <c r="E584" s="7"/>
      <c r="F584" s="7"/>
      <c r="G584" s="7"/>
      <c r="J584" s="7"/>
      <c r="K584" s="7"/>
      <c r="L584" s="7"/>
      <c r="O584" s="7"/>
      <c r="P584" s="7"/>
      <c r="Q584" s="7"/>
      <c r="R584" s="7"/>
      <c r="S584" s="7"/>
    </row>
    <row r="585" ht="14.25" customHeight="1">
      <c r="E585" s="7"/>
      <c r="F585" s="7"/>
      <c r="G585" s="7"/>
      <c r="J585" s="7"/>
      <c r="K585" s="7"/>
      <c r="L585" s="7"/>
      <c r="O585" s="7"/>
      <c r="P585" s="7"/>
      <c r="Q585" s="7"/>
      <c r="R585" s="7"/>
      <c r="S585" s="7"/>
    </row>
    <row r="586" ht="14.25" customHeight="1">
      <c r="E586" s="7"/>
      <c r="F586" s="7"/>
      <c r="G586" s="7"/>
      <c r="J586" s="7"/>
      <c r="K586" s="7"/>
      <c r="L586" s="7"/>
      <c r="O586" s="7"/>
      <c r="P586" s="7"/>
      <c r="Q586" s="7"/>
      <c r="R586" s="7"/>
      <c r="S586" s="7"/>
    </row>
    <row r="587" ht="14.25" customHeight="1">
      <c r="E587" s="7"/>
      <c r="F587" s="7"/>
      <c r="G587" s="7"/>
      <c r="J587" s="7"/>
      <c r="K587" s="7"/>
      <c r="L587" s="7"/>
      <c r="O587" s="7"/>
      <c r="P587" s="7"/>
      <c r="Q587" s="7"/>
      <c r="R587" s="7"/>
      <c r="S587" s="7"/>
    </row>
    <row r="588" ht="14.25" customHeight="1">
      <c r="E588" s="7"/>
      <c r="F588" s="7"/>
      <c r="G588" s="7"/>
      <c r="J588" s="7"/>
      <c r="K588" s="7"/>
      <c r="L588" s="7"/>
      <c r="O588" s="7"/>
      <c r="P588" s="7"/>
      <c r="Q588" s="7"/>
      <c r="R588" s="7"/>
      <c r="S588" s="7"/>
    </row>
    <row r="589" ht="14.25" customHeight="1">
      <c r="E589" s="7"/>
      <c r="F589" s="7"/>
      <c r="G589" s="7"/>
      <c r="J589" s="7"/>
      <c r="K589" s="7"/>
      <c r="L589" s="7"/>
      <c r="O589" s="7"/>
      <c r="P589" s="7"/>
      <c r="Q589" s="7"/>
      <c r="R589" s="7"/>
      <c r="S589" s="7"/>
    </row>
    <row r="590" ht="14.25" customHeight="1">
      <c r="E590" s="7"/>
      <c r="F590" s="7"/>
      <c r="G590" s="7"/>
      <c r="J590" s="7"/>
      <c r="K590" s="7"/>
      <c r="L590" s="7"/>
      <c r="O590" s="7"/>
      <c r="P590" s="7"/>
      <c r="Q590" s="7"/>
      <c r="R590" s="7"/>
      <c r="S590" s="7"/>
    </row>
    <row r="591" ht="14.25" customHeight="1">
      <c r="E591" s="7"/>
      <c r="F591" s="7"/>
      <c r="G591" s="7"/>
      <c r="J591" s="7"/>
      <c r="K591" s="7"/>
      <c r="L591" s="7"/>
      <c r="O591" s="7"/>
      <c r="P591" s="7"/>
      <c r="Q591" s="7"/>
      <c r="R591" s="7"/>
      <c r="S591" s="7"/>
    </row>
    <row r="592" ht="14.25" customHeight="1">
      <c r="E592" s="7"/>
      <c r="F592" s="7"/>
      <c r="G592" s="7"/>
      <c r="J592" s="7"/>
      <c r="K592" s="7"/>
      <c r="L592" s="7"/>
      <c r="O592" s="7"/>
      <c r="P592" s="7"/>
      <c r="Q592" s="7"/>
      <c r="R592" s="7"/>
      <c r="S592" s="7"/>
    </row>
    <row r="593" ht="14.25" customHeight="1">
      <c r="E593" s="7"/>
      <c r="F593" s="7"/>
      <c r="G593" s="7"/>
      <c r="J593" s="7"/>
      <c r="K593" s="7"/>
      <c r="L593" s="7"/>
      <c r="O593" s="7"/>
      <c r="P593" s="7"/>
      <c r="Q593" s="7"/>
      <c r="R593" s="7"/>
      <c r="S593" s="7"/>
    </row>
    <row r="594" ht="14.25" customHeight="1">
      <c r="E594" s="7"/>
      <c r="F594" s="7"/>
      <c r="G594" s="7"/>
      <c r="J594" s="7"/>
      <c r="K594" s="7"/>
      <c r="L594" s="7"/>
      <c r="O594" s="7"/>
      <c r="P594" s="7"/>
      <c r="Q594" s="7"/>
      <c r="R594" s="7"/>
      <c r="S594" s="7"/>
    </row>
    <row r="595" ht="14.25" customHeight="1">
      <c r="E595" s="7"/>
      <c r="F595" s="7"/>
      <c r="G595" s="7"/>
      <c r="J595" s="7"/>
      <c r="K595" s="7"/>
      <c r="L595" s="7"/>
      <c r="O595" s="7"/>
      <c r="P595" s="7"/>
      <c r="Q595" s="7"/>
      <c r="R595" s="7"/>
      <c r="S595" s="7"/>
    </row>
    <row r="596" ht="14.25" customHeight="1">
      <c r="E596" s="7"/>
      <c r="F596" s="7"/>
      <c r="G596" s="7"/>
      <c r="J596" s="7"/>
      <c r="K596" s="7"/>
      <c r="L596" s="7"/>
      <c r="O596" s="7"/>
      <c r="P596" s="7"/>
      <c r="Q596" s="7"/>
      <c r="R596" s="7"/>
      <c r="S596" s="7"/>
    </row>
    <row r="597" ht="14.25" customHeight="1">
      <c r="E597" s="7"/>
      <c r="F597" s="7"/>
      <c r="G597" s="7"/>
      <c r="J597" s="7"/>
      <c r="K597" s="7"/>
      <c r="L597" s="7"/>
      <c r="O597" s="7"/>
      <c r="P597" s="7"/>
      <c r="Q597" s="7"/>
      <c r="R597" s="7"/>
      <c r="S597" s="7"/>
    </row>
    <row r="598" ht="14.25" customHeight="1">
      <c r="E598" s="7"/>
      <c r="F598" s="7"/>
      <c r="G598" s="7"/>
      <c r="J598" s="7"/>
      <c r="K598" s="7"/>
      <c r="L598" s="7"/>
      <c r="O598" s="7"/>
      <c r="P598" s="7"/>
      <c r="Q598" s="7"/>
      <c r="R598" s="7"/>
      <c r="S598" s="7"/>
    </row>
    <row r="599" ht="14.25" customHeight="1">
      <c r="E599" s="7"/>
      <c r="F599" s="7"/>
      <c r="G599" s="7"/>
      <c r="J599" s="7"/>
      <c r="K599" s="7"/>
      <c r="L599" s="7"/>
      <c r="O599" s="7"/>
      <c r="P599" s="7"/>
      <c r="Q599" s="7"/>
      <c r="R599" s="7"/>
      <c r="S599" s="7"/>
    </row>
    <row r="600" ht="14.25" customHeight="1">
      <c r="E600" s="7"/>
      <c r="F600" s="7"/>
      <c r="G600" s="7"/>
      <c r="J600" s="7"/>
      <c r="K600" s="7"/>
      <c r="L600" s="7"/>
      <c r="O600" s="7"/>
      <c r="P600" s="7"/>
      <c r="Q600" s="7"/>
      <c r="R600" s="7"/>
      <c r="S600" s="7"/>
    </row>
    <row r="601" ht="14.25" customHeight="1">
      <c r="E601" s="7"/>
      <c r="F601" s="7"/>
      <c r="G601" s="7"/>
      <c r="J601" s="7"/>
      <c r="K601" s="7"/>
      <c r="L601" s="7"/>
      <c r="O601" s="7"/>
      <c r="P601" s="7"/>
      <c r="Q601" s="7"/>
      <c r="R601" s="7"/>
      <c r="S601" s="7"/>
    </row>
    <row r="602" ht="14.25" customHeight="1">
      <c r="E602" s="7"/>
      <c r="F602" s="7"/>
      <c r="G602" s="7"/>
      <c r="J602" s="7"/>
      <c r="K602" s="7"/>
      <c r="L602" s="7"/>
      <c r="O602" s="7"/>
      <c r="P602" s="7"/>
      <c r="Q602" s="7"/>
      <c r="R602" s="7"/>
      <c r="S602" s="7"/>
    </row>
    <row r="603" ht="14.25" customHeight="1">
      <c r="E603" s="7"/>
      <c r="F603" s="7"/>
      <c r="G603" s="7"/>
      <c r="J603" s="7"/>
      <c r="K603" s="7"/>
      <c r="L603" s="7"/>
      <c r="O603" s="7"/>
      <c r="P603" s="7"/>
      <c r="Q603" s="7"/>
      <c r="R603" s="7"/>
      <c r="S603" s="7"/>
    </row>
    <row r="604" ht="14.25" customHeight="1">
      <c r="E604" s="7"/>
      <c r="F604" s="7"/>
      <c r="G604" s="7"/>
      <c r="J604" s="7"/>
      <c r="K604" s="7"/>
      <c r="L604" s="7"/>
      <c r="O604" s="7"/>
      <c r="P604" s="7"/>
      <c r="Q604" s="7"/>
      <c r="R604" s="7"/>
      <c r="S604" s="7"/>
    </row>
    <row r="605" ht="14.25" customHeight="1">
      <c r="E605" s="7"/>
      <c r="F605" s="7"/>
      <c r="G605" s="7"/>
      <c r="J605" s="7"/>
      <c r="K605" s="7"/>
      <c r="L605" s="7"/>
      <c r="O605" s="7"/>
      <c r="P605" s="7"/>
      <c r="Q605" s="7"/>
      <c r="R605" s="7"/>
      <c r="S605" s="7"/>
    </row>
    <row r="606" ht="14.25" customHeight="1">
      <c r="E606" s="7"/>
      <c r="F606" s="7"/>
      <c r="G606" s="7"/>
      <c r="J606" s="7"/>
      <c r="K606" s="7"/>
      <c r="L606" s="7"/>
      <c r="O606" s="7"/>
      <c r="P606" s="7"/>
      <c r="Q606" s="7"/>
      <c r="R606" s="7"/>
      <c r="S606" s="7"/>
    </row>
    <row r="607" ht="14.25" customHeight="1">
      <c r="E607" s="7"/>
      <c r="F607" s="7"/>
      <c r="G607" s="7"/>
      <c r="J607" s="7"/>
      <c r="K607" s="7"/>
      <c r="L607" s="7"/>
      <c r="O607" s="7"/>
      <c r="P607" s="7"/>
      <c r="Q607" s="7"/>
      <c r="R607" s="7"/>
      <c r="S607" s="7"/>
    </row>
    <row r="608" ht="14.25" customHeight="1">
      <c r="E608" s="7"/>
      <c r="F608" s="7"/>
      <c r="G608" s="7"/>
      <c r="J608" s="7"/>
      <c r="K608" s="7"/>
      <c r="L608" s="7"/>
      <c r="O608" s="7"/>
      <c r="P608" s="7"/>
      <c r="Q608" s="7"/>
      <c r="R608" s="7"/>
      <c r="S608" s="7"/>
    </row>
    <row r="609" ht="14.25" customHeight="1">
      <c r="E609" s="7"/>
      <c r="F609" s="7"/>
      <c r="G609" s="7"/>
      <c r="J609" s="7"/>
      <c r="K609" s="7"/>
      <c r="L609" s="7"/>
      <c r="O609" s="7"/>
      <c r="P609" s="7"/>
      <c r="Q609" s="7"/>
      <c r="R609" s="7"/>
      <c r="S609" s="7"/>
    </row>
    <row r="610" ht="14.25" customHeight="1">
      <c r="E610" s="7"/>
      <c r="F610" s="7"/>
      <c r="G610" s="7"/>
      <c r="J610" s="7"/>
      <c r="K610" s="7"/>
      <c r="L610" s="7"/>
      <c r="O610" s="7"/>
      <c r="P610" s="7"/>
      <c r="Q610" s="7"/>
      <c r="R610" s="7"/>
      <c r="S610" s="7"/>
    </row>
    <row r="611" ht="14.25" customHeight="1">
      <c r="E611" s="7"/>
      <c r="F611" s="7"/>
      <c r="G611" s="7"/>
      <c r="J611" s="7"/>
      <c r="K611" s="7"/>
      <c r="L611" s="7"/>
      <c r="O611" s="7"/>
      <c r="P611" s="7"/>
      <c r="Q611" s="7"/>
      <c r="R611" s="7"/>
      <c r="S611" s="7"/>
    </row>
    <row r="612" ht="14.25" customHeight="1">
      <c r="E612" s="7"/>
      <c r="F612" s="7"/>
      <c r="G612" s="7"/>
      <c r="J612" s="7"/>
      <c r="K612" s="7"/>
      <c r="L612" s="7"/>
      <c r="O612" s="7"/>
      <c r="P612" s="7"/>
      <c r="Q612" s="7"/>
      <c r="R612" s="7"/>
      <c r="S612" s="7"/>
    </row>
    <row r="613" ht="14.25" customHeight="1">
      <c r="E613" s="7"/>
      <c r="F613" s="7"/>
      <c r="G613" s="7"/>
      <c r="J613" s="7"/>
      <c r="K613" s="7"/>
      <c r="L613" s="7"/>
      <c r="O613" s="7"/>
      <c r="P613" s="7"/>
      <c r="Q613" s="7"/>
      <c r="R613" s="7"/>
      <c r="S613" s="7"/>
    </row>
    <row r="614" ht="14.25" customHeight="1">
      <c r="E614" s="7"/>
      <c r="F614" s="7"/>
      <c r="G614" s="7"/>
      <c r="J614" s="7"/>
      <c r="K614" s="7"/>
      <c r="L614" s="7"/>
      <c r="O614" s="7"/>
      <c r="P614" s="7"/>
      <c r="Q614" s="7"/>
      <c r="R614" s="7"/>
      <c r="S614" s="7"/>
    </row>
    <row r="615" ht="14.25" customHeight="1">
      <c r="E615" s="7"/>
      <c r="F615" s="7"/>
      <c r="G615" s="7"/>
      <c r="J615" s="7"/>
      <c r="K615" s="7"/>
      <c r="L615" s="7"/>
      <c r="O615" s="7"/>
      <c r="P615" s="7"/>
      <c r="Q615" s="7"/>
      <c r="R615" s="7"/>
      <c r="S615" s="7"/>
    </row>
    <row r="616" ht="14.25" customHeight="1">
      <c r="E616" s="7"/>
      <c r="F616" s="7"/>
      <c r="G616" s="7"/>
      <c r="J616" s="7"/>
      <c r="K616" s="7"/>
      <c r="L616" s="7"/>
      <c r="O616" s="7"/>
      <c r="P616" s="7"/>
      <c r="Q616" s="7"/>
      <c r="R616" s="7"/>
      <c r="S616" s="7"/>
    </row>
    <row r="617" ht="14.25" customHeight="1">
      <c r="E617" s="7"/>
      <c r="F617" s="7"/>
      <c r="G617" s="7"/>
      <c r="J617" s="7"/>
      <c r="K617" s="7"/>
      <c r="L617" s="7"/>
      <c r="O617" s="7"/>
      <c r="P617" s="7"/>
      <c r="Q617" s="7"/>
      <c r="R617" s="7"/>
      <c r="S617" s="7"/>
    </row>
    <row r="618" ht="14.25" customHeight="1">
      <c r="E618" s="7"/>
      <c r="F618" s="7"/>
      <c r="G618" s="7"/>
      <c r="J618" s="7"/>
      <c r="K618" s="7"/>
      <c r="L618" s="7"/>
      <c r="O618" s="7"/>
      <c r="P618" s="7"/>
      <c r="Q618" s="7"/>
      <c r="R618" s="7"/>
      <c r="S618" s="7"/>
    </row>
    <row r="619" ht="14.25" customHeight="1">
      <c r="E619" s="7"/>
      <c r="F619" s="7"/>
      <c r="G619" s="7"/>
      <c r="J619" s="7"/>
      <c r="K619" s="7"/>
      <c r="L619" s="7"/>
      <c r="O619" s="7"/>
      <c r="P619" s="7"/>
      <c r="Q619" s="7"/>
      <c r="R619" s="7"/>
      <c r="S619" s="7"/>
    </row>
    <row r="620" ht="14.25" customHeight="1">
      <c r="E620" s="7"/>
      <c r="F620" s="7"/>
      <c r="G620" s="7"/>
      <c r="J620" s="7"/>
      <c r="K620" s="7"/>
      <c r="L620" s="7"/>
      <c r="O620" s="7"/>
      <c r="P620" s="7"/>
      <c r="Q620" s="7"/>
      <c r="R620" s="7"/>
      <c r="S620" s="7"/>
    </row>
    <row r="621" ht="14.25" customHeight="1">
      <c r="E621" s="7"/>
      <c r="F621" s="7"/>
      <c r="G621" s="7"/>
      <c r="J621" s="7"/>
      <c r="K621" s="7"/>
      <c r="L621" s="7"/>
      <c r="O621" s="7"/>
      <c r="P621" s="7"/>
      <c r="Q621" s="7"/>
      <c r="R621" s="7"/>
      <c r="S621" s="7"/>
    </row>
    <row r="622" ht="14.25" customHeight="1">
      <c r="E622" s="7"/>
      <c r="F622" s="7"/>
      <c r="G622" s="7"/>
      <c r="J622" s="7"/>
      <c r="K622" s="7"/>
      <c r="L622" s="7"/>
      <c r="O622" s="7"/>
      <c r="P622" s="7"/>
      <c r="Q622" s="7"/>
      <c r="R622" s="7"/>
      <c r="S622" s="7"/>
    </row>
    <row r="623" ht="14.25" customHeight="1">
      <c r="E623" s="7"/>
      <c r="F623" s="7"/>
      <c r="G623" s="7"/>
      <c r="J623" s="7"/>
      <c r="K623" s="7"/>
      <c r="L623" s="7"/>
      <c r="O623" s="7"/>
      <c r="P623" s="7"/>
      <c r="Q623" s="7"/>
      <c r="R623" s="7"/>
      <c r="S623" s="7"/>
    </row>
    <row r="624" ht="14.25" customHeight="1">
      <c r="E624" s="7"/>
      <c r="F624" s="7"/>
      <c r="G624" s="7"/>
      <c r="J624" s="7"/>
      <c r="K624" s="7"/>
      <c r="L624" s="7"/>
      <c r="O624" s="7"/>
      <c r="P624" s="7"/>
      <c r="Q624" s="7"/>
      <c r="R624" s="7"/>
      <c r="S624" s="7"/>
    </row>
    <row r="625" ht="14.25" customHeight="1">
      <c r="E625" s="7"/>
      <c r="F625" s="7"/>
      <c r="G625" s="7"/>
      <c r="J625" s="7"/>
      <c r="K625" s="7"/>
      <c r="L625" s="7"/>
      <c r="O625" s="7"/>
      <c r="P625" s="7"/>
      <c r="Q625" s="7"/>
      <c r="R625" s="7"/>
      <c r="S625" s="7"/>
    </row>
    <row r="626" ht="14.25" customHeight="1">
      <c r="E626" s="7"/>
      <c r="F626" s="7"/>
      <c r="G626" s="7"/>
      <c r="J626" s="7"/>
      <c r="K626" s="7"/>
      <c r="L626" s="7"/>
      <c r="O626" s="7"/>
      <c r="P626" s="7"/>
      <c r="Q626" s="7"/>
      <c r="R626" s="7"/>
      <c r="S626" s="7"/>
    </row>
    <row r="627" ht="14.25" customHeight="1">
      <c r="E627" s="7"/>
      <c r="F627" s="7"/>
      <c r="G627" s="7"/>
      <c r="J627" s="7"/>
      <c r="K627" s="7"/>
      <c r="L627" s="7"/>
      <c r="O627" s="7"/>
      <c r="P627" s="7"/>
      <c r="Q627" s="7"/>
      <c r="R627" s="7"/>
      <c r="S627" s="7"/>
    </row>
    <row r="628" ht="14.25" customHeight="1">
      <c r="E628" s="7"/>
      <c r="F628" s="7"/>
      <c r="G628" s="7"/>
      <c r="J628" s="7"/>
      <c r="K628" s="7"/>
      <c r="L628" s="7"/>
      <c r="O628" s="7"/>
      <c r="P628" s="7"/>
      <c r="Q628" s="7"/>
      <c r="R628" s="7"/>
      <c r="S628" s="7"/>
    </row>
    <row r="629" ht="14.25" customHeight="1">
      <c r="E629" s="7"/>
      <c r="F629" s="7"/>
      <c r="G629" s="7"/>
      <c r="J629" s="7"/>
      <c r="K629" s="7"/>
      <c r="L629" s="7"/>
      <c r="O629" s="7"/>
      <c r="P629" s="7"/>
      <c r="Q629" s="7"/>
      <c r="R629" s="7"/>
      <c r="S629" s="7"/>
    </row>
    <row r="630" ht="14.25" customHeight="1">
      <c r="E630" s="7"/>
      <c r="F630" s="7"/>
      <c r="G630" s="7"/>
      <c r="J630" s="7"/>
      <c r="K630" s="7"/>
      <c r="L630" s="7"/>
      <c r="O630" s="7"/>
      <c r="P630" s="7"/>
      <c r="Q630" s="7"/>
      <c r="R630" s="7"/>
      <c r="S630" s="7"/>
    </row>
    <row r="631" ht="14.25" customHeight="1">
      <c r="E631" s="7"/>
      <c r="F631" s="7"/>
      <c r="G631" s="7"/>
      <c r="J631" s="7"/>
      <c r="K631" s="7"/>
      <c r="L631" s="7"/>
      <c r="O631" s="7"/>
      <c r="P631" s="7"/>
      <c r="Q631" s="7"/>
      <c r="R631" s="7"/>
      <c r="S631" s="7"/>
    </row>
    <row r="632" ht="14.25" customHeight="1">
      <c r="E632" s="7"/>
      <c r="F632" s="7"/>
      <c r="G632" s="7"/>
      <c r="J632" s="7"/>
      <c r="K632" s="7"/>
      <c r="L632" s="7"/>
      <c r="O632" s="7"/>
      <c r="P632" s="7"/>
      <c r="Q632" s="7"/>
      <c r="R632" s="7"/>
      <c r="S632" s="7"/>
    </row>
    <row r="633" ht="14.25" customHeight="1">
      <c r="E633" s="7"/>
      <c r="F633" s="7"/>
      <c r="G633" s="7"/>
      <c r="J633" s="7"/>
      <c r="K633" s="7"/>
      <c r="L633" s="7"/>
      <c r="O633" s="7"/>
      <c r="P633" s="7"/>
      <c r="Q633" s="7"/>
      <c r="R633" s="7"/>
      <c r="S633" s="7"/>
    </row>
    <row r="634" ht="14.25" customHeight="1">
      <c r="E634" s="7"/>
      <c r="F634" s="7"/>
      <c r="G634" s="7"/>
      <c r="J634" s="7"/>
      <c r="K634" s="7"/>
      <c r="L634" s="7"/>
      <c r="O634" s="7"/>
      <c r="P634" s="7"/>
      <c r="Q634" s="7"/>
      <c r="R634" s="7"/>
      <c r="S634" s="7"/>
    </row>
    <row r="635" ht="14.25" customHeight="1">
      <c r="E635" s="7"/>
      <c r="F635" s="7"/>
      <c r="G635" s="7"/>
      <c r="J635" s="7"/>
      <c r="K635" s="7"/>
      <c r="L635" s="7"/>
      <c r="O635" s="7"/>
      <c r="P635" s="7"/>
      <c r="Q635" s="7"/>
      <c r="R635" s="7"/>
      <c r="S635" s="7"/>
    </row>
    <row r="636" ht="14.25" customHeight="1">
      <c r="E636" s="7"/>
      <c r="F636" s="7"/>
      <c r="G636" s="7"/>
      <c r="J636" s="7"/>
      <c r="K636" s="7"/>
      <c r="L636" s="7"/>
      <c r="O636" s="7"/>
      <c r="P636" s="7"/>
      <c r="Q636" s="7"/>
      <c r="R636" s="7"/>
      <c r="S636" s="7"/>
    </row>
    <row r="637" ht="14.25" customHeight="1">
      <c r="E637" s="7"/>
      <c r="F637" s="7"/>
      <c r="G637" s="7"/>
      <c r="J637" s="7"/>
      <c r="K637" s="7"/>
      <c r="L637" s="7"/>
      <c r="O637" s="7"/>
      <c r="P637" s="7"/>
      <c r="Q637" s="7"/>
      <c r="R637" s="7"/>
      <c r="S637" s="7"/>
    </row>
    <row r="638" ht="14.25" customHeight="1">
      <c r="E638" s="7"/>
      <c r="F638" s="7"/>
      <c r="G638" s="7"/>
      <c r="J638" s="7"/>
      <c r="K638" s="7"/>
      <c r="L638" s="7"/>
      <c r="O638" s="7"/>
      <c r="P638" s="7"/>
      <c r="Q638" s="7"/>
      <c r="R638" s="7"/>
      <c r="S638" s="7"/>
    </row>
    <row r="639" ht="14.25" customHeight="1">
      <c r="E639" s="7"/>
      <c r="F639" s="7"/>
      <c r="G639" s="7"/>
      <c r="J639" s="7"/>
      <c r="K639" s="7"/>
      <c r="L639" s="7"/>
      <c r="O639" s="7"/>
      <c r="P639" s="7"/>
      <c r="Q639" s="7"/>
      <c r="R639" s="7"/>
      <c r="S639" s="7"/>
    </row>
    <row r="640" ht="14.25" customHeight="1">
      <c r="E640" s="7"/>
      <c r="F640" s="7"/>
      <c r="G640" s="7"/>
      <c r="J640" s="7"/>
      <c r="K640" s="7"/>
      <c r="L640" s="7"/>
      <c r="O640" s="7"/>
      <c r="P640" s="7"/>
      <c r="Q640" s="7"/>
      <c r="R640" s="7"/>
      <c r="S640" s="7"/>
    </row>
    <row r="641" ht="14.25" customHeight="1">
      <c r="E641" s="7"/>
      <c r="F641" s="7"/>
      <c r="G641" s="7"/>
      <c r="J641" s="7"/>
      <c r="K641" s="7"/>
      <c r="L641" s="7"/>
      <c r="O641" s="7"/>
      <c r="P641" s="7"/>
      <c r="Q641" s="7"/>
      <c r="R641" s="7"/>
      <c r="S641" s="7"/>
    </row>
    <row r="642" ht="14.25" customHeight="1">
      <c r="E642" s="7"/>
      <c r="F642" s="7"/>
      <c r="G642" s="7"/>
      <c r="J642" s="7"/>
      <c r="K642" s="7"/>
      <c r="L642" s="7"/>
      <c r="O642" s="7"/>
      <c r="P642" s="7"/>
      <c r="Q642" s="7"/>
      <c r="R642" s="7"/>
      <c r="S642" s="7"/>
    </row>
    <row r="643" ht="14.25" customHeight="1">
      <c r="E643" s="7"/>
      <c r="F643" s="7"/>
      <c r="G643" s="7"/>
      <c r="J643" s="7"/>
      <c r="K643" s="7"/>
      <c r="L643" s="7"/>
      <c r="O643" s="7"/>
      <c r="P643" s="7"/>
      <c r="Q643" s="7"/>
      <c r="R643" s="7"/>
      <c r="S643" s="7"/>
    </row>
    <row r="644" ht="14.25" customHeight="1">
      <c r="E644" s="7"/>
      <c r="F644" s="7"/>
      <c r="G644" s="7"/>
      <c r="J644" s="7"/>
      <c r="K644" s="7"/>
      <c r="L644" s="7"/>
      <c r="O644" s="7"/>
      <c r="P644" s="7"/>
      <c r="Q644" s="7"/>
      <c r="R644" s="7"/>
      <c r="S644" s="7"/>
    </row>
    <row r="645" ht="14.25" customHeight="1">
      <c r="E645" s="7"/>
      <c r="F645" s="7"/>
      <c r="G645" s="7"/>
      <c r="J645" s="7"/>
      <c r="K645" s="7"/>
      <c r="L645" s="7"/>
      <c r="O645" s="7"/>
      <c r="P645" s="7"/>
      <c r="Q645" s="7"/>
      <c r="R645" s="7"/>
      <c r="S645" s="7"/>
    </row>
    <row r="646" ht="14.25" customHeight="1">
      <c r="E646" s="7"/>
      <c r="F646" s="7"/>
      <c r="G646" s="7"/>
      <c r="J646" s="7"/>
      <c r="K646" s="7"/>
      <c r="L646" s="7"/>
      <c r="O646" s="7"/>
      <c r="P646" s="7"/>
      <c r="Q646" s="7"/>
      <c r="R646" s="7"/>
      <c r="S646" s="7"/>
    </row>
    <row r="647" ht="14.25" customHeight="1">
      <c r="E647" s="7"/>
      <c r="F647" s="7"/>
      <c r="G647" s="7"/>
      <c r="J647" s="7"/>
      <c r="K647" s="7"/>
      <c r="L647" s="7"/>
      <c r="O647" s="7"/>
      <c r="P647" s="7"/>
      <c r="Q647" s="7"/>
      <c r="R647" s="7"/>
      <c r="S647" s="7"/>
    </row>
    <row r="648" ht="14.25" customHeight="1">
      <c r="E648" s="7"/>
      <c r="F648" s="7"/>
      <c r="G648" s="7"/>
      <c r="J648" s="7"/>
      <c r="K648" s="7"/>
      <c r="L648" s="7"/>
      <c r="O648" s="7"/>
      <c r="P648" s="7"/>
      <c r="Q648" s="7"/>
      <c r="R648" s="7"/>
      <c r="S648" s="7"/>
    </row>
    <row r="649" ht="14.25" customHeight="1">
      <c r="E649" s="7"/>
      <c r="F649" s="7"/>
      <c r="G649" s="7"/>
      <c r="J649" s="7"/>
      <c r="K649" s="7"/>
      <c r="L649" s="7"/>
      <c r="O649" s="7"/>
      <c r="P649" s="7"/>
      <c r="Q649" s="7"/>
      <c r="R649" s="7"/>
      <c r="S649" s="7"/>
    </row>
    <row r="650" ht="14.25" customHeight="1">
      <c r="E650" s="7"/>
      <c r="F650" s="7"/>
      <c r="G650" s="7"/>
      <c r="J650" s="7"/>
      <c r="K650" s="7"/>
      <c r="L650" s="7"/>
      <c r="O650" s="7"/>
      <c r="P650" s="7"/>
      <c r="Q650" s="7"/>
      <c r="R650" s="7"/>
      <c r="S650" s="7"/>
    </row>
    <row r="651" ht="14.25" customHeight="1">
      <c r="E651" s="7"/>
      <c r="F651" s="7"/>
      <c r="G651" s="7"/>
      <c r="J651" s="7"/>
      <c r="K651" s="7"/>
      <c r="L651" s="7"/>
      <c r="O651" s="7"/>
      <c r="P651" s="7"/>
      <c r="Q651" s="7"/>
      <c r="R651" s="7"/>
      <c r="S651" s="7"/>
    </row>
    <row r="652" ht="14.25" customHeight="1">
      <c r="E652" s="7"/>
      <c r="F652" s="7"/>
      <c r="G652" s="7"/>
      <c r="J652" s="7"/>
      <c r="K652" s="7"/>
      <c r="L652" s="7"/>
      <c r="O652" s="7"/>
      <c r="P652" s="7"/>
      <c r="Q652" s="7"/>
      <c r="R652" s="7"/>
      <c r="S652" s="7"/>
    </row>
    <row r="653" ht="14.25" customHeight="1">
      <c r="E653" s="7"/>
      <c r="F653" s="7"/>
      <c r="G653" s="7"/>
      <c r="J653" s="7"/>
      <c r="K653" s="7"/>
      <c r="L653" s="7"/>
      <c r="O653" s="7"/>
      <c r="P653" s="7"/>
      <c r="Q653" s="7"/>
      <c r="R653" s="7"/>
      <c r="S653" s="7"/>
    </row>
    <row r="654" ht="14.25" customHeight="1">
      <c r="E654" s="7"/>
      <c r="F654" s="7"/>
      <c r="G654" s="7"/>
      <c r="J654" s="7"/>
      <c r="K654" s="7"/>
      <c r="L654" s="7"/>
      <c r="O654" s="7"/>
      <c r="P654" s="7"/>
      <c r="Q654" s="7"/>
      <c r="R654" s="7"/>
      <c r="S654" s="7"/>
    </row>
    <row r="655" ht="14.25" customHeight="1">
      <c r="E655" s="7"/>
      <c r="F655" s="7"/>
      <c r="G655" s="7"/>
      <c r="J655" s="7"/>
      <c r="K655" s="7"/>
      <c r="L655" s="7"/>
      <c r="O655" s="7"/>
      <c r="P655" s="7"/>
      <c r="Q655" s="7"/>
      <c r="R655" s="7"/>
      <c r="S655" s="7"/>
    </row>
    <row r="656" ht="14.25" customHeight="1">
      <c r="E656" s="7"/>
      <c r="F656" s="7"/>
      <c r="G656" s="7"/>
      <c r="J656" s="7"/>
      <c r="K656" s="7"/>
      <c r="L656" s="7"/>
      <c r="O656" s="7"/>
      <c r="P656" s="7"/>
      <c r="Q656" s="7"/>
      <c r="R656" s="7"/>
      <c r="S656" s="7"/>
    </row>
    <row r="657" ht="14.25" customHeight="1">
      <c r="E657" s="7"/>
      <c r="F657" s="7"/>
      <c r="G657" s="7"/>
      <c r="J657" s="7"/>
      <c r="K657" s="7"/>
      <c r="L657" s="7"/>
      <c r="O657" s="7"/>
      <c r="P657" s="7"/>
      <c r="Q657" s="7"/>
      <c r="R657" s="7"/>
      <c r="S657" s="7"/>
    </row>
    <row r="658" ht="14.25" customHeight="1">
      <c r="E658" s="7"/>
      <c r="F658" s="7"/>
      <c r="G658" s="7"/>
      <c r="J658" s="7"/>
      <c r="K658" s="7"/>
      <c r="L658" s="7"/>
      <c r="O658" s="7"/>
      <c r="P658" s="7"/>
      <c r="Q658" s="7"/>
      <c r="R658" s="7"/>
      <c r="S658" s="7"/>
    </row>
    <row r="659" ht="14.25" customHeight="1">
      <c r="E659" s="7"/>
      <c r="F659" s="7"/>
      <c r="G659" s="7"/>
      <c r="J659" s="7"/>
      <c r="K659" s="7"/>
      <c r="L659" s="7"/>
      <c r="O659" s="7"/>
      <c r="P659" s="7"/>
      <c r="Q659" s="7"/>
      <c r="R659" s="7"/>
      <c r="S659" s="7"/>
    </row>
    <row r="660" ht="14.25" customHeight="1">
      <c r="E660" s="7"/>
      <c r="F660" s="7"/>
      <c r="G660" s="7"/>
      <c r="J660" s="7"/>
      <c r="K660" s="7"/>
      <c r="L660" s="7"/>
      <c r="O660" s="7"/>
      <c r="P660" s="7"/>
      <c r="Q660" s="7"/>
      <c r="R660" s="7"/>
      <c r="S660" s="7"/>
    </row>
    <row r="661" ht="14.25" customHeight="1">
      <c r="E661" s="7"/>
      <c r="F661" s="7"/>
      <c r="G661" s="7"/>
      <c r="J661" s="7"/>
      <c r="K661" s="7"/>
      <c r="L661" s="7"/>
      <c r="O661" s="7"/>
      <c r="P661" s="7"/>
      <c r="Q661" s="7"/>
      <c r="R661" s="7"/>
      <c r="S661" s="7"/>
    </row>
    <row r="662" ht="14.25" customHeight="1">
      <c r="E662" s="7"/>
      <c r="F662" s="7"/>
      <c r="G662" s="7"/>
      <c r="J662" s="7"/>
      <c r="K662" s="7"/>
      <c r="L662" s="7"/>
      <c r="O662" s="7"/>
      <c r="P662" s="7"/>
      <c r="Q662" s="7"/>
      <c r="R662" s="7"/>
      <c r="S662" s="7"/>
    </row>
    <row r="663" ht="14.25" customHeight="1">
      <c r="E663" s="7"/>
      <c r="F663" s="7"/>
      <c r="G663" s="7"/>
      <c r="J663" s="7"/>
      <c r="K663" s="7"/>
      <c r="L663" s="7"/>
      <c r="O663" s="7"/>
      <c r="P663" s="7"/>
      <c r="Q663" s="7"/>
      <c r="R663" s="7"/>
      <c r="S663" s="7"/>
    </row>
    <row r="664" ht="14.25" customHeight="1">
      <c r="E664" s="7"/>
      <c r="F664" s="7"/>
      <c r="G664" s="7"/>
      <c r="J664" s="7"/>
      <c r="K664" s="7"/>
      <c r="L664" s="7"/>
      <c r="O664" s="7"/>
      <c r="P664" s="7"/>
      <c r="Q664" s="7"/>
      <c r="R664" s="7"/>
      <c r="S664" s="7"/>
    </row>
    <row r="665" ht="14.25" customHeight="1">
      <c r="E665" s="7"/>
      <c r="F665" s="7"/>
      <c r="G665" s="7"/>
      <c r="J665" s="7"/>
      <c r="K665" s="7"/>
      <c r="L665" s="7"/>
      <c r="O665" s="7"/>
      <c r="P665" s="7"/>
      <c r="Q665" s="7"/>
      <c r="R665" s="7"/>
      <c r="S665" s="7"/>
    </row>
    <row r="666" ht="14.25" customHeight="1">
      <c r="E666" s="7"/>
      <c r="F666" s="7"/>
      <c r="G666" s="7"/>
      <c r="J666" s="7"/>
      <c r="K666" s="7"/>
      <c r="L666" s="7"/>
      <c r="O666" s="7"/>
      <c r="P666" s="7"/>
      <c r="Q666" s="7"/>
      <c r="R666" s="7"/>
      <c r="S666" s="7"/>
    </row>
    <row r="667" ht="14.25" customHeight="1">
      <c r="E667" s="7"/>
      <c r="F667" s="7"/>
      <c r="G667" s="7"/>
      <c r="J667" s="7"/>
      <c r="K667" s="7"/>
      <c r="L667" s="7"/>
      <c r="O667" s="7"/>
      <c r="P667" s="7"/>
      <c r="Q667" s="7"/>
      <c r="R667" s="7"/>
      <c r="S667" s="7"/>
    </row>
    <row r="668" ht="14.25" customHeight="1">
      <c r="E668" s="7"/>
      <c r="F668" s="7"/>
      <c r="G668" s="7"/>
      <c r="J668" s="7"/>
      <c r="K668" s="7"/>
      <c r="L668" s="7"/>
      <c r="O668" s="7"/>
      <c r="P668" s="7"/>
      <c r="Q668" s="7"/>
      <c r="R668" s="7"/>
      <c r="S668" s="7"/>
    </row>
    <row r="669" ht="14.25" customHeight="1">
      <c r="E669" s="7"/>
      <c r="F669" s="7"/>
      <c r="G669" s="7"/>
      <c r="J669" s="7"/>
      <c r="K669" s="7"/>
      <c r="L669" s="7"/>
      <c r="O669" s="7"/>
      <c r="P669" s="7"/>
      <c r="Q669" s="7"/>
      <c r="R669" s="7"/>
      <c r="S669" s="7"/>
    </row>
    <row r="670" ht="14.25" customHeight="1">
      <c r="E670" s="7"/>
      <c r="F670" s="7"/>
      <c r="G670" s="7"/>
      <c r="J670" s="7"/>
      <c r="K670" s="7"/>
      <c r="L670" s="7"/>
      <c r="O670" s="7"/>
      <c r="P670" s="7"/>
      <c r="Q670" s="7"/>
      <c r="R670" s="7"/>
      <c r="S670" s="7"/>
    </row>
    <row r="671" ht="14.25" customHeight="1">
      <c r="E671" s="7"/>
      <c r="F671" s="7"/>
      <c r="G671" s="7"/>
      <c r="J671" s="7"/>
      <c r="K671" s="7"/>
      <c r="L671" s="7"/>
      <c r="O671" s="7"/>
      <c r="P671" s="7"/>
      <c r="Q671" s="7"/>
      <c r="R671" s="7"/>
      <c r="S671" s="7"/>
    </row>
    <row r="672" ht="14.25" customHeight="1">
      <c r="E672" s="7"/>
      <c r="F672" s="7"/>
      <c r="G672" s="7"/>
      <c r="J672" s="7"/>
      <c r="K672" s="7"/>
      <c r="L672" s="7"/>
      <c r="O672" s="7"/>
      <c r="P672" s="7"/>
      <c r="Q672" s="7"/>
      <c r="R672" s="7"/>
      <c r="S672" s="7"/>
    </row>
    <row r="673" ht="14.25" customHeight="1">
      <c r="E673" s="7"/>
      <c r="F673" s="7"/>
      <c r="G673" s="7"/>
      <c r="J673" s="7"/>
      <c r="K673" s="7"/>
      <c r="L673" s="7"/>
      <c r="O673" s="7"/>
      <c r="P673" s="7"/>
      <c r="Q673" s="7"/>
      <c r="R673" s="7"/>
      <c r="S673" s="7"/>
    </row>
    <row r="674" ht="14.25" customHeight="1">
      <c r="E674" s="7"/>
      <c r="F674" s="7"/>
      <c r="G674" s="7"/>
      <c r="J674" s="7"/>
      <c r="K674" s="7"/>
      <c r="L674" s="7"/>
      <c r="O674" s="7"/>
      <c r="P674" s="7"/>
      <c r="Q674" s="7"/>
      <c r="R674" s="7"/>
      <c r="S674" s="7"/>
    </row>
    <row r="675" ht="14.25" customHeight="1">
      <c r="E675" s="7"/>
      <c r="F675" s="7"/>
      <c r="G675" s="7"/>
      <c r="J675" s="7"/>
      <c r="K675" s="7"/>
      <c r="L675" s="7"/>
      <c r="O675" s="7"/>
      <c r="P675" s="7"/>
      <c r="Q675" s="7"/>
      <c r="R675" s="7"/>
      <c r="S675" s="7"/>
    </row>
    <row r="676" ht="14.25" customHeight="1">
      <c r="E676" s="7"/>
      <c r="F676" s="7"/>
      <c r="G676" s="7"/>
      <c r="J676" s="7"/>
      <c r="K676" s="7"/>
      <c r="L676" s="7"/>
      <c r="O676" s="7"/>
      <c r="P676" s="7"/>
      <c r="Q676" s="7"/>
      <c r="R676" s="7"/>
      <c r="S676" s="7"/>
    </row>
    <row r="677" ht="14.25" customHeight="1">
      <c r="E677" s="7"/>
      <c r="F677" s="7"/>
      <c r="G677" s="7"/>
      <c r="J677" s="7"/>
      <c r="K677" s="7"/>
      <c r="L677" s="7"/>
      <c r="O677" s="7"/>
      <c r="P677" s="7"/>
      <c r="Q677" s="7"/>
      <c r="R677" s="7"/>
      <c r="S677" s="7"/>
    </row>
    <row r="678" ht="14.25" customHeight="1">
      <c r="E678" s="7"/>
      <c r="F678" s="7"/>
      <c r="G678" s="7"/>
      <c r="J678" s="7"/>
      <c r="K678" s="7"/>
      <c r="L678" s="7"/>
      <c r="O678" s="7"/>
      <c r="P678" s="7"/>
      <c r="Q678" s="7"/>
      <c r="R678" s="7"/>
      <c r="S678" s="7"/>
    </row>
    <row r="679" ht="14.25" customHeight="1">
      <c r="E679" s="7"/>
      <c r="F679" s="7"/>
      <c r="G679" s="7"/>
      <c r="J679" s="7"/>
      <c r="K679" s="7"/>
      <c r="L679" s="7"/>
      <c r="O679" s="7"/>
      <c r="P679" s="7"/>
      <c r="Q679" s="7"/>
      <c r="R679" s="7"/>
      <c r="S679" s="7"/>
    </row>
    <row r="680" ht="14.25" customHeight="1">
      <c r="E680" s="7"/>
      <c r="F680" s="7"/>
      <c r="G680" s="7"/>
      <c r="J680" s="7"/>
      <c r="K680" s="7"/>
      <c r="L680" s="7"/>
      <c r="O680" s="7"/>
      <c r="P680" s="7"/>
      <c r="Q680" s="7"/>
      <c r="R680" s="7"/>
      <c r="S680" s="7"/>
    </row>
    <row r="681" ht="14.25" customHeight="1">
      <c r="E681" s="7"/>
      <c r="F681" s="7"/>
      <c r="G681" s="7"/>
      <c r="J681" s="7"/>
      <c r="K681" s="7"/>
      <c r="L681" s="7"/>
      <c r="O681" s="7"/>
      <c r="P681" s="7"/>
      <c r="Q681" s="7"/>
      <c r="R681" s="7"/>
      <c r="S681" s="7"/>
    </row>
    <row r="682" ht="14.25" customHeight="1">
      <c r="E682" s="7"/>
      <c r="F682" s="7"/>
      <c r="G682" s="7"/>
      <c r="J682" s="7"/>
      <c r="K682" s="7"/>
      <c r="L682" s="7"/>
      <c r="O682" s="7"/>
      <c r="P682" s="7"/>
      <c r="Q682" s="7"/>
      <c r="R682" s="7"/>
      <c r="S682" s="7"/>
    </row>
    <row r="683" ht="14.25" customHeight="1">
      <c r="E683" s="7"/>
      <c r="F683" s="7"/>
      <c r="G683" s="7"/>
      <c r="J683" s="7"/>
      <c r="K683" s="7"/>
      <c r="L683" s="7"/>
      <c r="O683" s="7"/>
      <c r="P683" s="7"/>
      <c r="Q683" s="7"/>
      <c r="R683" s="7"/>
      <c r="S683" s="7"/>
    </row>
    <row r="684" ht="14.25" customHeight="1">
      <c r="E684" s="7"/>
      <c r="F684" s="7"/>
      <c r="G684" s="7"/>
      <c r="J684" s="7"/>
      <c r="K684" s="7"/>
      <c r="L684" s="7"/>
      <c r="O684" s="7"/>
      <c r="P684" s="7"/>
      <c r="Q684" s="7"/>
      <c r="R684" s="7"/>
      <c r="S684" s="7"/>
    </row>
    <row r="685" ht="14.25" customHeight="1">
      <c r="E685" s="7"/>
      <c r="F685" s="7"/>
      <c r="G685" s="7"/>
      <c r="J685" s="7"/>
      <c r="K685" s="7"/>
      <c r="L685" s="7"/>
      <c r="O685" s="7"/>
      <c r="P685" s="7"/>
      <c r="Q685" s="7"/>
      <c r="R685" s="7"/>
      <c r="S685" s="7"/>
    </row>
    <row r="686" ht="14.25" customHeight="1">
      <c r="E686" s="7"/>
      <c r="F686" s="7"/>
      <c r="G686" s="7"/>
      <c r="J686" s="7"/>
      <c r="K686" s="7"/>
      <c r="L686" s="7"/>
      <c r="O686" s="7"/>
      <c r="P686" s="7"/>
      <c r="Q686" s="7"/>
      <c r="R686" s="7"/>
      <c r="S686" s="7"/>
    </row>
    <row r="687" ht="14.25" customHeight="1">
      <c r="E687" s="7"/>
      <c r="F687" s="7"/>
      <c r="G687" s="7"/>
      <c r="J687" s="7"/>
      <c r="K687" s="7"/>
      <c r="L687" s="7"/>
      <c r="O687" s="7"/>
      <c r="P687" s="7"/>
      <c r="Q687" s="7"/>
      <c r="R687" s="7"/>
      <c r="S687" s="7"/>
    </row>
    <row r="688" ht="14.25" customHeight="1">
      <c r="E688" s="7"/>
      <c r="F688" s="7"/>
      <c r="G688" s="7"/>
      <c r="J688" s="7"/>
      <c r="K688" s="7"/>
      <c r="L688" s="7"/>
      <c r="O688" s="7"/>
      <c r="P688" s="7"/>
      <c r="Q688" s="7"/>
      <c r="R688" s="7"/>
      <c r="S688" s="7"/>
    </row>
    <row r="689" ht="14.25" customHeight="1">
      <c r="E689" s="7"/>
      <c r="F689" s="7"/>
      <c r="G689" s="7"/>
      <c r="J689" s="7"/>
      <c r="K689" s="7"/>
      <c r="L689" s="7"/>
      <c r="O689" s="7"/>
      <c r="P689" s="7"/>
      <c r="Q689" s="7"/>
      <c r="R689" s="7"/>
      <c r="S689" s="7"/>
    </row>
    <row r="690" ht="14.25" customHeight="1">
      <c r="E690" s="7"/>
      <c r="F690" s="7"/>
      <c r="G690" s="7"/>
      <c r="J690" s="7"/>
      <c r="K690" s="7"/>
      <c r="L690" s="7"/>
      <c r="O690" s="7"/>
      <c r="P690" s="7"/>
      <c r="Q690" s="7"/>
      <c r="R690" s="7"/>
      <c r="S690" s="7"/>
    </row>
    <row r="691" ht="14.25" customHeight="1">
      <c r="E691" s="7"/>
      <c r="F691" s="7"/>
      <c r="G691" s="7"/>
      <c r="J691" s="7"/>
      <c r="K691" s="7"/>
      <c r="L691" s="7"/>
      <c r="O691" s="7"/>
      <c r="P691" s="7"/>
      <c r="Q691" s="7"/>
      <c r="R691" s="7"/>
      <c r="S691" s="7"/>
    </row>
    <row r="692" ht="14.25" customHeight="1">
      <c r="E692" s="7"/>
      <c r="F692" s="7"/>
      <c r="G692" s="7"/>
      <c r="J692" s="7"/>
      <c r="K692" s="7"/>
      <c r="L692" s="7"/>
      <c r="O692" s="7"/>
      <c r="P692" s="7"/>
      <c r="Q692" s="7"/>
      <c r="R692" s="7"/>
      <c r="S692" s="7"/>
    </row>
    <row r="693" ht="14.25" customHeight="1">
      <c r="E693" s="7"/>
      <c r="F693" s="7"/>
      <c r="G693" s="7"/>
      <c r="J693" s="7"/>
      <c r="K693" s="7"/>
      <c r="L693" s="7"/>
      <c r="O693" s="7"/>
      <c r="P693" s="7"/>
      <c r="Q693" s="7"/>
      <c r="R693" s="7"/>
      <c r="S693" s="7"/>
    </row>
    <row r="694" ht="14.25" customHeight="1">
      <c r="E694" s="7"/>
      <c r="F694" s="7"/>
      <c r="G694" s="7"/>
      <c r="J694" s="7"/>
      <c r="K694" s="7"/>
      <c r="L694" s="7"/>
      <c r="O694" s="7"/>
      <c r="P694" s="7"/>
      <c r="Q694" s="7"/>
      <c r="R694" s="7"/>
      <c r="S694" s="7"/>
    </row>
    <row r="695" ht="14.25" customHeight="1">
      <c r="E695" s="7"/>
      <c r="F695" s="7"/>
      <c r="G695" s="7"/>
      <c r="J695" s="7"/>
      <c r="K695" s="7"/>
      <c r="L695" s="7"/>
      <c r="O695" s="7"/>
      <c r="P695" s="7"/>
      <c r="Q695" s="7"/>
      <c r="R695" s="7"/>
      <c r="S695" s="7"/>
    </row>
    <row r="696" ht="14.25" customHeight="1">
      <c r="E696" s="7"/>
      <c r="F696" s="7"/>
      <c r="G696" s="7"/>
      <c r="J696" s="7"/>
      <c r="K696" s="7"/>
      <c r="L696" s="7"/>
      <c r="O696" s="7"/>
      <c r="P696" s="7"/>
      <c r="Q696" s="7"/>
      <c r="R696" s="7"/>
      <c r="S696" s="7"/>
    </row>
    <row r="697" ht="14.25" customHeight="1">
      <c r="E697" s="7"/>
      <c r="F697" s="7"/>
      <c r="G697" s="7"/>
      <c r="J697" s="7"/>
      <c r="K697" s="7"/>
      <c r="L697" s="7"/>
      <c r="O697" s="7"/>
      <c r="P697" s="7"/>
      <c r="Q697" s="7"/>
      <c r="R697" s="7"/>
      <c r="S697" s="7"/>
    </row>
    <row r="698" ht="14.25" customHeight="1">
      <c r="E698" s="7"/>
      <c r="F698" s="7"/>
      <c r="G698" s="7"/>
      <c r="J698" s="7"/>
      <c r="K698" s="7"/>
      <c r="L698" s="7"/>
      <c r="O698" s="7"/>
      <c r="P698" s="7"/>
      <c r="Q698" s="7"/>
      <c r="R698" s="7"/>
      <c r="S698" s="7"/>
    </row>
    <row r="699" ht="14.25" customHeight="1">
      <c r="E699" s="7"/>
      <c r="F699" s="7"/>
      <c r="G699" s="7"/>
      <c r="J699" s="7"/>
      <c r="K699" s="7"/>
      <c r="L699" s="7"/>
      <c r="O699" s="7"/>
      <c r="P699" s="7"/>
      <c r="Q699" s="7"/>
      <c r="R699" s="7"/>
      <c r="S699" s="7"/>
    </row>
    <row r="700" ht="14.25" customHeight="1">
      <c r="E700" s="7"/>
      <c r="F700" s="7"/>
      <c r="G700" s="7"/>
      <c r="J700" s="7"/>
      <c r="K700" s="7"/>
      <c r="L700" s="7"/>
      <c r="O700" s="7"/>
      <c r="P700" s="7"/>
      <c r="Q700" s="7"/>
      <c r="R700" s="7"/>
      <c r="S700" s="7"/>
    </row>
    <row r="701" ht="14.25" customHeight="1">
      <c r="E701" s="7"/>
      <c r="F701" s="7"/>
      <c r="G701" s="7"/>
      <c r="J701" s="7"/>
      <c r="K701" s="7"/>
      <c r="L701" s="7"/>
      <c r="O701" s="7"/>
      <c r="P701" s="7"/>
      <c r="Q701" s="7"/>
      <c r="R701" s="7"/>
      <c r="S701" s="7"/>
    </row>
    <row r="702" ht="14.25" customHeight="1">
      <c r="E702" s="7"/>
      <c r="F702" s="7"/>
      <c r="G702" s="7"/>
      <c r="J702" s="7"/>
      <c r="K702" s="7"/>
      <c r="L702" s="7"/>
      <c r="O702" s="7"/>
      <c r="P702" s="7"/>
      <c r="Q702" s="7"/>
      <c r="R702" s="7"/>
      <c r="S702" s="7"/>
    </row>
    <row r="703" ht="14.25" customHeight="1">
      <c r="E703" s="7"/>
      <c r="F703" s="7"/>
      <c r="G703" s="7"/>
      <c r="J703" s="7"/>
      <c r="K703" s="7"/>
      <c r="L703" s="7"/>
      <c r="O703" s="7"/>
      <c r="P703" s="7"/>
      <c r="Q703" s="7"/>
      <c r="R703" s="7"/>
      <c r="S703" s="7"/>
    </row>
    <row r="704" ht="14.25" customHeight="1">
      <c r="E704" s="7"/>
      <c r="F704" s="7"/>
      <c r="G704" s="7"/>
      <c r="J704" s="7"/>
      <c r="K704" s="7"/>
      <c r="L704" s="7"/>
      <c r="O704" s="7"/>
      <c r="P704" s="7"/>
      <c r="Q704" s="7"/>
      <c r="R704" s="7"/>
      <c r="S704" s="7"/>
    </row>
    <row r="705" ht="14.25" customHeight="1">
      <c r="E705" s="7"/>
      <c r="F705" s="7"/>
      <c r="G705" s="7"/>
      <c r="J705" s="7"/>
      <c r="K705" s="7"/>
      <c r="L705" s="7"/>
      <c r="O705" s="7"/>
      <c r="P705" s="7"/>
      <c r="Q705" s="7"/>
      <c r="R705" s="7"/>
      <c r="S705" s="7"/>
    </row>
    <row r="706" ht="14.25" customHeight="1">
      <c r="E706" s="7"/>
      <c r="F706" s="7"/>
      <c r="G706" s="7"/>
      <c r="J706" s="7"/>
      <c r="K706" s="7"/>
      <c r="L706" s="7"/>
      <c r="O706" s="7"/>
      <c r="P706" s="7"/>
      <c r="Q706" s="7"/>
      <c r="R706" s="7"/>
      <c r="S706" s="7"/>
    </row>
    <row r="707" ht="14.25" customHeight="1">
      <c r="E707" s="7"/>
      <c r="F707" s="7"/>
      <c r="G707" s="7"/>
      <c r="J707" s="7"/>
      <c r="K707" s="7"/>
      <c r="L707" s="7"/>
      <c r="O707" s="7"/>
      <c r="P707" s="7"/>
      <c r="Q707" s="7"/>
      <c r="R707" s="7"/>
      <c r="S707" s="7"/>
    </row>
    <row r="708" ht="14.25" customHeight="1">
      <c r="E708" s="7"/>
      <c r="F708" s="7"/>
      <c r="G708" s="7"/>
      <c r="J708" s="7"/>
      <c r="K708" s="7"/>
      <c r="L708" s="7"/>
      <c r="O708" s="7"/>
      <c r="P708" s="7"/>
      <c r="Q708" s="7"/>
      <c r="R708" s="7"/>
      <c r="S708" s="7"/>
    </row>
    <row r="709" ht="14.25" customHeight="1">
      <c r="E709" s="7"/>
      <c r="F709" s="7"/>
      <c r="G709" s="7"/>
      <c r="J709" s="7"/>
      <c r="K709" s="7"/>
      <c r="L709" s="7"/>
      <c r="O709" s="7"/>
      <c r="P709" s="7"/>
      <c r="Q709" s="7"/>
      <c r="R709" s="7"/>
      <c r="S709" s="7"/>
    </row>
    <row r="710" ht="14.25" customHeight="1">
      <c r="E710" s="7"/>
      <c r="F710" s="7"/>
      <c r="G710" s="7"/>
      <c r="J710" s="7"/>
      <c r="K710" s="7"/>
      <c r="L710" s="7"/>
      <c r="O710" s="7"/>
      <c r="P710" s="7"/>
      <c r="Q710" s="7"/>
      <c r="R710" s="7"/>
      <c r="S710" s="7"/>
    </row>
    <row r="711" ht="14.25" customHeight="1">
      <c r="E711" s="7"/>
      <c r="F711" s="7"/>
      <c r="G711" s="7"/>
      <c r="J711" s="7"/>
      <c r="K711" s="7"/>
      <c r="L711" s="7"/>
      <c r="O711" s="7"/>
      <c r="P711" s="7"/>
      <c r="Q711" s="7"/>
      <c r="R711" s="7"/>
      <c r="S711" s="7"/>
    </row>
    <row r="712" ht="14.25" customHeight="1">
      <c r="E712" s="7"/>
      <c r="F712" s="7"/>
      <c r="G712" s="7"/>
      <c r="J712" s="7"/>
      <c r="K712" s="7"/>
      <c r="L712" s="7"/>
      <c r="O712" s="7"/>
      <c r="P712" s="7"/>
      <c r="Q712" s="7"/>
      <c r="R712" s="7"/>
      <c r="S712" s="7"/>
    </row>
    <row r="713" ht="14.25" customHeight="1">
      <c r="E713" s="7"/>
      <c r="F713" s="7"/>
      <c r="G713" s="7"/>
      <c r="J713" s="7"/>
      <c r="K713" s="7"/>
      <c r="L713" s="7"/>
      <c r="O713" s="7"/>
      <c r="P713" s="7"/>
      <c r="Q713" s="7"/>
      <c r="R713" s="7"/>
      <c r="S713" s="7"/>
    </row>
    <row r="714" ht="14.25" customHeight="1">
      <c r="E714" s="7"/>
      <c r="F714" s="7"/>
      <c r="G714" s="7"/>
      <c r="J714" s="7"/>
      <c r="K714" s="7"/>
      <c r="L714" s="7"/>
      <c r="O714" s="7"/>
      <c r="P714" s="7"/>
      <c r="Q714" s="7"/>
      <c r="R714" s="7"/>
      <c r="S714" s="7"/>
    </row>
    <row r="715" ht="14.25" customHeight="1">
      <c r="E715" s="7"/>
      <c r="F715" s="7"/>
      <c r="G715" s="7"/>
      <c r="J715" s="7"/>
      <c r="K715" s="7"/>
      <c r="L715" s="7"/>
      <c r="O715" s="7"/>
      <c r="P715" s="7"/>
      <c r="Q715" s="7"/>
      <c r="R715" s="7"/>
      <c r="S715" s="7"/>
    </row>
    <row r="716" ht="14.25" customHeight="1">
      <c r="E716" s="7"/>
      <c r="F716" s="7"/>
      <c r="G716" s="7"/>
      <c r="J716" s="7"/>
      <c r="K716" s="7"/>
      <c r="L716" s="7"/>
      <c r="O716" s="7"/>
      <c r="P716" s="7"/>
      <c r="Q716" s="7"/>
      <c r="R716" s="7"/>
      <c r="S716" s="7"/>
    </row>
    <row r="717" ht="14.25" customHeight="1">
      <c r="E717" s="7"/>
      <c r="F717" s="7"/>
      <c r="G717" s="7"/>
      <c r="J717" s="7"/>
      <c r="K717" s="7"/>
      <c r="L717" s="7"/>
      <c r="O717" s="7"/>
      <c r="P717" s="7"/>
      <c r="Q717" s="7"/>
      <c r="R717" s="7"/>
      <c r="S717" s="7"/>
    </row>
    <row r="718" ht="14.25" customHeight="1">
      <c r="E718" s="7"/>
      <c r="F718" s="7"/>
      <c r="G718" s="7"/>
      <c r="J718" s="7"/>
      <c r="K718" s="7"/>
      <c r="L718" s="7"/>
      <c r="O718" s="7"/>
      <c r="P718" s="7"/>
      <c r="Q718" s="7"/>
      <c r="R718" s="7"/>
      <c r="S718" s="7"/>
    </row>
    <row r="719" ht="14.25" customHeight="1">
      <c r="E719" s="7"/>
      <c r="F719" s="7"/>
      <c r="G719" s="7"/>
      <c r="J719" s="7"/>
      <c r="K719" s="7"/>
      <c r="L719" s="7"/>
      <c r="O719" s="7"/>
      <c r="P719" s="7"/>
      <c r="Q719" s="7"/>
      <c r="R719" s="7"/>
      <c r="S719" s="7"/>
    </row>
    <row r="720" ht="14.25" customHeight="1">
      <c r="E720" s="7"/>
      <c r="F720" s="7"/>
      <c r="G720" s="7"/>
      <c r="J720" s="7"/>
      <c r="K720" s="7"/>
      <c r="L720" s="7"/>
      <c r="O720" s="7"/>
      <c r="P720" s="7"/>
      <c r="Q720" s="7"/>
      <c r="R720" s="7"/>
      <c r="S720" s="7"/>
    </row>
    <row r="721" ht="14.25" customHeight="1">
      <c r="E721" s="7"/>
      <c r="F721" s="7"/>
      <c r="G721" s="7"/>
      <c r="J721" s="7"/>
      <c r="K721" s="7"/>
      <c r="L721" s="7"/>
      <c r="O721" s="7"/>
      <c r="P721" s="7"/>
      <c r="Q721" s="7"/>
      <c r="R721" s="7"/>
      <c r="S721" s="7"/>
    </row>
    <row r="722" ht="14.25" customHeight="1">
      <c r="E722" s="7"/>
      <c r="F722" s="7"/>
      <c r="G722" s="7"/>
      <c r="J722" s="7"/>
      <c r="K722" s="7"/>
      <c r="L722" s="7"/>
      <c r="O722" s="7"/>
      <c r="P722" s="7"/>
      <c r="Q722" s="7"/>
      <c r="R722" s="7"/>
      <c r="S722" s="7"/>
    </row>
    <row r="723" ht="14.25" customHeight="1">
      <c r="E723" s="7"/>
      <c r="F723" s="7"/>
      <c r="G723" s="7"/>
      <c r="J723" s="7"/>
      <c r="K723" s="7"/>
      <c r="L723" s="7"/>
      <c r="O723" s="7"/>
      <c r="P723" s="7"/>
      <c r="Q723" s="7"/>
      <c r="R723" s="7"/>
      <c r="S723" s="7"/>
    </row>
    <row r="724" ht="14.25" customHeight="1">
      <c r="E724" s="7"/>
      <c r="F724" s="7"/>
      <c r="G724" s="7"/>
      <c r="J724" s="7"/>
      <c r="K724" s="7"/>
      <c r="L724" s="7"/>
      <c r="O724" s="7"/>
      <c r="P724" s="7"/>
      <c r="Q724" s="7"/>
      <c r="R724" s="7"/>
      <c r="S724" s="7"/>
    </row>
    <row r="725" ht="14.25" customHeight="1">
      <c r="E725" s="7"/>
      <c r="F725" s="7"/>
      <c r="G725" s="7"/>
      <c r="J725" s="7"/>
      <c r="K725" s="7"/>
      <c r="L725" s="7"/>
      <c r="O725" s="7"/>
      <c r="P725" s="7"/>
      <c r="Q725" s="7"/>
      <c r="R725" s="7"/>
      <c r="S725" s="7"/>
    </row>
    <row r="726" ht="14.25" customHeight="1">
      <c r="E726" s="7"/>
      <c r="F726" s="7"/>
      <c r="G726" s="7"/>
      <c r="J726" s="7"/>
      <c r="K726" s="7"/>
      <c r="L726" s="7"/>
      <c r="O726" s="7"/>
      <c r="P726" s="7"/>
      <c r="Q726" s="7"/>
      <c r="R726" s="7"/>
      <c r="S726" s="7"/>
    </row>
    <row r="727" ht="14.25" customHeight="1">
      <c r="E727" s="7"/>
      <c r="F727" s="7"/>
      <c r="G727" s="7"/>
      <c r="J727" s="7"/>
      <c r="K727" s="7"/>
      <c r="L727" s="7"/>
      <c r="O727" s="7"/>
      <c r="P727" s="7"/>
      <c r="Q727" s="7"/>
      <c r="R727" s="7"/>
      <c r="S727" s="7"/>
    </row>
    <row r="728" ht="14.25" customHeight="1">
      <c r="E728" s="7"/>
      <c r="F728" s="7"/>
      <c r="G728" s="7"/>
      <c r="J728" s="7"/>
      <c r="K728" s="7"/>
      <c r="L728" s="7"/>
      <c r="O728" s="7"/>
      <c r="P728" s="7"/>
      <c r="Q728" s="7"/>
      <c r="R728" s="7"/>
      <c r="S728" s="7"/>
    </row>
    <row r="729" ht="14.25" customHeight="1">
      <c r="E729" s="7"/>
      <c r="F729" s="7"/>
      <c r="G729" s="7"/>
      <c r="J729" s="7"/>
      <c r="K729" s="7"/>
      <c r="L729" s="7"/>
      <c r="O729" s="7"/>
      <c r="P729" s="7"/>
      <c r="Q729" s="7"/>
      <c r="R729" s="7"/>
      <c r="S729" s="7"/>
    </row>
    <row r="730" ht="14.25" customHeight="1">
      <c r="E730" s="7"/>
      <c r="F730" s="7"/>
      <c r="G730" s="7"/>
      <c r="J730" s="7"/>
      <c r="K730" s="7"/>
      <c r="L730" s="7"/>
      <c r="O730" s="7"/>
      <c r="P730" s="7"/>
      <c r="Q730" s="7"/>
      <c r="R730" s="7"/>
      <c r="S730" s="7"/>
    </row>
    <row r="731" ht="14.25" customHeight="1">
      <c r="E731" s="7"/>
      <c r="F731" s="7"/>
      <c r="G731" s="7"/>
      <c r="J731" s="7"/>
      <c r="K731" s="7"/>
      <c r="L731" s="7"/>
      <c r="O731" s="7"/>
      <c r="P731" s="7"/>
      <c r="Q731" s="7"/>
      <c r="R731" s="7"/>
      <c r="S731" s="7"/>
    </row>
    <row r="732" ht="14.25" customHeight="1">
      <c r="E732" s="7"/>
      <c r="F732" s="7"/>
      <c r="G732" s="7"/>
      <c r="J732" s="7"/>
      <c r="K732" s="7"/>
      <c r="L732" s="7"/>
      <c r="O732" s="7"/>
      <c r="P732" s="7"/>
      <c r="Q732" s="7"/>
      <c r="R732" s="7"/>
      <c r="S732" s="7"/>
    </row>
    <row r="733" ht="14.25" customHeight="1">
      <c r="E733" s="7"/>
      <c r="F733" s="7"/>
      <c r="G733" s="7"/>
      <c r="J733" s="7"/>
      <c r="K733" s="7"/>
      <c r="L733" s="7"/>
      <c r="O733" s="7"/>
      <c r="P733" s="7"/>
      <c r="Q733" s="7"/>
      <c r="R733" s="7"/>
      <c r="S733" s="7"/>
    </row>
    <row r="734" ht="14.25" customHeight="1">
      <c r="E734" s="7"/>
      <c r="F734" s="7"/>
      <c r="G734" s="7"/>
      <c r="J734" s="7"/>
      <c r="K734" s="7"/>
      <c r="L734" s="7"/>
      <c r="O734" s="7"/>
      <c r="P734" s="7"/>
      <c r="Q734" s="7"/>
      <c r="R734" s="7"/>
      <c r="S734" s="7"/>
    </row>
    <row r="735" ht="14.25" customHeight="1">
      <c r="E735" s="7"/>
      <c r="F735" s="7"/>
      <c r="G735" s="7"/>
      <c r="J735" s="7"/>
      <c r="K735" s="7"/>
      <c r="L735" s="7"/>
      <c r="O735" s="7"/>
      <c r="P735" s="7"/>
      <c r="Q735" s="7"/>
      <c r="R735" s="7"/>
      <c r="S735" s="7"/>
    </row>
    <row r="736" ht="14.25" customHeight="1">
      <c r="E736" s="7"/>
      <c r="F736" s="7"/>
      <c r="G736" s="7"/>
      <c r="J736" s="7"/>
      <c r="K736" s="7"/>
      <c r="L736" s="7"/>
      <c r="O736" s="7"/>
      <c r="P736" s="7"/>
      <c r="Q736" s="7"/>
      <c r="R736" s="7"/>
      <c r="S736" s="7"/>
    </row>
    <row r="737" ht="14.25" customHeight="1">
      <c r="E737" s="7"/>
      <c r="F737" s="7"/>
      <c r="G737" s="7"/>
      <c r="J737" s="7"/>
      <c r="K737" s="7"/>
      <c r="L737" s="7"/>
      <c r="O737" s="7"/>
      <c r="P737" s="7"/>
      <c r="Q737" s="7"/>
      <c r="R737" s="7"/>
      <c r="S737" s="7"/>
    </row>
    <row r="738" ht="14.25" customHeight="1">
      <c r="E738" s="7"/>
      <c r="F738" s="7"/>
      <c r="G738" s="7"/>
      <c r="J738" s="7"/>
      <c r="K738" s="7"/>
      <c r="L738" s="7"/>
      <c r="O738" s="7"/>
      <c r="P738" s="7"/>
      <c r="Q738" s="7"/>
      <c r="R738" s="7"/>
      <c r="S738" s="7"/>
    </row>
    <row r="739" ht="14.25" customHeight="1">
      <c r="E739" s="7"/>
      <c r="F739" s="7"/>
      <c r="G739" s="7"/>
      <c r="J739" s="7"/>
      <c r="K739" s="7"/>
      <c r="L739" s="7"/>
      <c r="O739" s="7"/>
      <c r="P739" s="7"/>
      <c r="Q739" s="7"/>
      <c r="R739" s="7"/>
      <c r="S739" s="7"/>
    </row>
    <row r="740" ht="14.25" customHeight="1">
      <c r="E740" s="7"/>
      <c r="F740" s="7"/>
      <c r="G740" s="7"/>
      <c r="J740" s="7"/>
      <c r="K740" s="7"/>
      <c r="L740" s="7"/>
      <c r="O740" s="7"/>
      <c r="P740" s="7"/>
      <c r="Q740" s="7"/>
      <c r="R740" s="7"/>
      <c r="S740" s="7"/>
    </row>
    <row r="741" ht="14.25" customHeight="1">
      <c r="E741" s="7"/>
      <c r="F741" s="7"/>
      <c r="G741" s="7"/>
      <c r="J741" s="7"/>
      <c r="K741" s="7"/>
      <c r="L741" s="7"/>
      <c r="O741" s="7"/>
      <c r="P741" s="7"/>
      <c r="Q741" s="7"/>
      <c r="R741" s="7"/>
      <c r="S741" s="7"/>
    </row>
    <row r="742" ht="14.25" customHeight="1">
      <c r="E742" s="7"/>
      <c r="F742" s="7"/>
      <c r="G742" s="7"/>
      <c r="J742" s="7"/>
      <c r="K742" s="7"/>
      <c r="L742" s="7"/>
      <c r="O742" s="7"/>
      <c r="P742" s="7"/>
      <c r="Q742" s="7"/>
      <c r="R742" s="7"/>
      <c r="S742" s="7"/>
    </row>
    <row r="743" ht="14.25" customHeight="1">
      <c r="E743" s="7"/>
      <c r="F743" s="7"/>
      <c r="G743" s="7"/>
      <c r="J743" s="7"/>
      <c r="K743" s="7"/>
      <c r="L743" s="7"/>
      <c r="O743" s="7"/>
      <c r="P743" s="7"/>
      <c r="Q743" s="7"/>
      <c r="R743" s="7"/>
      <c r="S743" s="7"/>
    </row>
    <row r="744" ht="14.25" customHeight="1">
      <c r="E744" s="7"/>
      <c r="F744" s="7"/>
      <c r="G744" s="7"/>
      <c r="J744" s="7"/>
      <c r="K744" s="7"/>
      <c r="L744" s="7"/>
      <c r="O744" s="7"/>
      <c r="P744" s="7"/>
      <c r="Q744" s="7"/>
      <c r="R744" s="7"/>
      <c r="S744" s="7"/>
    </row>
    <row r="745" ht="14.25" customHeight="1">
      <c r="E745" s="7"/>
      <c r="F745" s="7"/>
      <c r="G745" s="7"/>
      <c r="J745" s="7"/>
      <c r="K745" s="7"/>
      <c r="L745" s="7"/>
      <c r="O745" s="7"/>
      <c r="P745" s="7"/>
      <c r="Q745" s="7"/>
      <c r="R745" s="7"/>
      <c r="S745" s="7"/>
    </row>
    <row r="746" ht="14.25" customHeight="1">
      <c r="E746" s="7"/>
      <c r="F746" s="7"/>
      <c r="G746" s="7"/>
      <c r="J746" s="7"/>
      <c r="K746" s="7"/>
      <c r="L746" s="7"/>
      <c r="O746" s="7"/>
      <c r="P746" s="7"/>
      <c r="Q746" s="7"/>
      <c r="R746" s="7"/>
      <c r="S746" s="7"/>
    </row>
    <row r="747" ht="14.25" customHeight="1">
      <c r="E747" s="7"/>
      <c r="F747" s="7"/>
      <c r="G747" s="7"/>
      <c r="J747" s="7"/>
      <c r="K747" s="7"/>
      <c r="L747" s="7"/>
      <c r="O747" s="7"/>
      <c r="P747" s="7"/>
      <c r="Q747" s="7"/>
      <c r="R747" s="7"/>
      <c r="S747" s="7"/>
    </row>
    <row r="748" ht="14.25" customHeight="1">
      <c r="E748" s="7"/>
      <c r="F748" s="7"/>
      <c r="G748" s="7"/>
      <c r="J748" s="7"/>
      <c r="K748" s="7"/>
      <c r="L748" s="7"/>
      <c r="O748" s="7"/>
      <c r="P748" s="7"/>
      <c r="Q748" s="7"/>
      <c r="R748" s="7"/>
      <c r="S748" s="7"/>
    </row>
    <row r="749" ht="14.25" customHeight="1">
      <c r="E749" s="7"/>
      <c r="F749" s="7"/>
      <c r="G749" s="7"/>
      <c r="J749" s="7"/>
      <c r="K749" s="7"/>
      <c r="L749" s="7"/>
      <c r="O749" s="7"/>
      <c r="P749" s="7"/>
      <c r="Q749" s="7"/>
      <c r="R749" s="7"/>
      <c r="S749" s="7"/>
    </row>
    <row r="750" ht="14.25" customHeight="1">
      <c r="E750" s="7"/>
      <c r="F750" s="7"/>
      <c r="G750" s="7"/>
      <c r="J750" s="7"/>
      <c r="K750" s="7"/>
      <c r="L750" s="7"/>
      <c r="O750" s="7"/>
      <c r="P750" s="7"/>
      <c r="Q750" s="7"/>
      <c r="R750" s="7"/>
      <c r="S750" s="7"/>
    </row>
    <row r="751" ht="14.25" customHeight="1">
      <c r="E751" s="7"/>
      <c r="F751" s="7"/>
      <c r="G751" s="7"/>
      <c r="J751" s="7"/>
      <c r="K751" s="7"/>
      <c r="L751" s="7"/>
      <c r="O751" s="7"/>
      <c r="P751" s="7"/>
      <c r="Q751" s="7"/>
      <c r="R751" s="7"/>
      <c r="S751" s="7"/>
    </row>
    <row r="752" ht="14.25" customHeight="1">
      <c r="E752" s="7"/>
      <c r="F752" s="7"/>
      <c r="G752" s="7"/>
      <c r="J752" s="7"/>
      <c r="K752" s="7"/>
      <c r="L752" s="7"/>
      <c r="O752" s="7"/>
      <c r="P752" s="7"/>
      <c r="Q752" s="7"/>
      <c r="R752" s="7"/>
      <c r="S752" s="7"/>
    </row>
    <row r="753" ht="14.25" customHeight="1">
      <c r="E753" s="7"/>
      <c r="F753" s="7"/>
      <c r="G753" s="7"/>
      <c r="J753" s="7"/>
      <c r="K753" s="7"/>
      <c r="L753" s="7"/>
      <c r="O753" s="7"/>
      <c r="P753" s="7"/>
      <c r="Q753" s="7"/>
      <c r="R753" s="7"/>
      <c r="S753" s="7"/>
    </row>
    <row r="754" ht="14.25" customHeight="1">
      <c r="E754" s="7"/>
      <c r="F754" s="7"/>
      <c r="G754" s="7"/>
      <c r="J754" s="7"/>
      <c r="K754" s="7"/>
      <c r="L754" s="7"/>
      <c r="O754" s="7"/>
      <c r="P754" s="7"/>
      <c r="Q754" s="7"/>
      <c r="R754" s="7"/>
      <c r="S754" s="7"/>
    </row>
    <row r="755" ht="14.25" customHeight="1">
      <c r="E755" s="7"/>
      <c r="F755" s="7"/>
      <c r="G755" s="7"/>
      <c r="J755" s="7"/>
      <c r="K755" s="7"/>
      <c r="L755" s="7"/>
      <c r="O755" s="7"/>
      <c r="P755" s="7"/>
      <c r="Q755" s="7"/>
      <c r="R755" s="7"/>
      <c r="S755" s="7"/>
    </row>
    <row r="756" ht="14.25" customHeight="1">
      <c r="E756" s="7"/>
      <c r="F756" s="7"/>
      <c r="G756" s="7"/>
      <c r="J756" s="7"/>
      <c r="K756" s="7"/>
      <c r="L756" s="7"/>
      <c r="O756" s="7"/>
      <c r="P756" s="7"/>
      <c r="Q756" s="7"/>
      <c r="R756" s="7"/>
      <c r="S756" s="7"/>
    </row>
    <row r="757" ht="14.25" customHeight="1">
      <c r="E757" s="7"/>
      <c r="F757" s="7"/>
      <c r="G757" s="7"/>
      <c r="J757" s="7"/>
      <c r="K757" s="7"/>
      <c r="L757" s="7"/>
      <c r="O757" s="7"/>
      <c r="P757" s="7"/>
      <c r="Q757" s="7"/>
      <c r="R757" s="7"/>
      <c r="S757" s="7"/>
    </row>
    <row r="758" ht="14.25" customHeight="1">
      <c r="E758" s="7"/>
      <c r="F758" s="7"/>
      <c r="G758" s="7"/>
      <c r="J758" s="7"/>
      <c r="K758" s="7"/>
      <c r="L758" s="7"/>
      <c r="O758" s="7"/>
      <c r="P758" s="7"/>
      <c r="Q758" s="7"/>
      <c r="R758" s="7"/>
      <c r="S758" s="7"/>
    </row>
    <row r="759" ht="14.25" customHeight="1">
      <c r="E759" s="7"/>
      <c r="F759" s="7"/>
      <c r="G759" s="7"/>
      <c r="J759" s="7"/>
      <c r="K759" s="7"/>
      <c r="L759" s="7"/>
      <c r="O759" s="7"/>
      <c r="P759" s="7"/>
      <c r="Q759" s="7"/>
      <c r="R759" s="7"/>
      <c r="S759" s="7"/>
    </row>
    <row r="760" ht="14.25" customHeight="1">
      <c r="E760" s="7"/>
      <c r="F760" s="7"/>
      <c r="G760" s="7"/>
      <c r="J760" s="7"/>
      <c r="K760" s="7"/>
      <c r="L760" s="7"/>
      <c r="O760" s="7"/>
      <c r="P760" s="7"/>
      <c r="Q760" s="7"/>
      <c r="R760" s="7"/>
      <c r="S760" s="7"/>
    </row>
    <row r="761" ht="14.25" customHeight="1">
      <c r="E761" s="7"/>
      <c r="F761" s="7"/>
      <c r="G761" s="7"/>
      <c r="J761" s="7"/>
      <c r="K761" s="7"/>
      <c r="L761" s="7"/>
      <c r="O761" s="7"/>
      <c r="P761" s="7"/>
      <c r="Q761" s="7"/>
      <c r="R761" s="7"/>
      <c r="S761" s="7"/>
    </row>
    <row r="762" ht="14.25" customHeight="1">
      <c r="E762" s="7"/>
      <c r="F762" s="7"/>
      <c r="G762" s="7"/>
      <c r="J762" s="7"/>
      <c r="K762" s="7"/>
      <c r="L762" s="7"/>
      <c r="O762" s="7"/>
      <c r="P762" s="7"/>
      <c r="Q762" s="7"/>
      <c r="R762" s="7"/>
      <c r="S762" s="7"/>
    </row>
    <row r="763" ht="14.25" customHeight="1">
      <c r="E763" s="7"/>
      <c r="F763" s="7"/>
      <c r="G763" s="7"/>
      <c r="J763" s="7"/>
      <c r="K763" s="7"/>
      <c r="L763" s="7"/>
      <c r="O763" s="7"/>
      <c r="P763" s="7"/>
      <c r="Q763" s="7"/>
      <c r="R763" s="7"/>
      <c r="S763" s="7"/>
    </row>
    <row r="764" ht="14.25" customHeight="1">
      <c r="E764" s="7"/>
      <c r="F764" s="7"/>
      <c r="G764" s="7"/>
      <c r="J764" s="7"/>
      <c r="K764" s="7"/>
      <c r="L764" s="7"/>
      <c r="O764" s="7"/>
      <c r="P764" s="7"/>
      <c r="Q764" s="7"/>
      <c r="R764" s="7"/>
      <c r="S764" s="7"/>
    </row>
    <row r="765" ht="14.25" customHeight="1">
      <c r="E765" s="7"/>
      <c r="F765" s="7"/>
      <c r="G765" s="7"/>
      <c r="J765" s="7"/>
      <c r="K765" s="7"/>
      <c r="L765" s="7"/>
      <c r="O765" s="7"/>
      <c r="P765" s="7"/>
      <c r="Q765" s="7"/>
      <c r="R765" s="7"/>
      <c r="S765" s="7"/>
    </row>
    <row r="766" ht="14.25" customHeight="1">
      <c r="E766" s="7"/>
      <c r="F766" s="7"/>
      <c r="G766" s="7"/>
      <c r="J766" s="7"/>
      <c r="K766" s="7"/>
      <c r="L766" s="7"/>
      <c r="O766" s="7"/>
      <c r="P766" s="7"/>
      <c r="Q766" s="7"/>
      <c r="R766" s="7"/>
      <c r="S766" s="7"/>
    </row>
    <row r="767" ht="14.25" customHeight="1">
      <c r="E767" s="7"/>
      <c r="F767" s="7"/>
      <c r="G767" s="7"/>
      <c r="J767" s="7"/>
      <c r="K767" s="7"/>
      <c r="L767" s="7"/>
      <c r="O767" s="7"/>
      <c r="P767" s="7"/>
      <c r="Q767" s="7"/>
      <c r="R767" s="7"/>
      <c r="S767" s="7"/>
    </row>
    <row r="768" ht="14.25" customHeight="1">
      <c r="E768" s="7"/>
      <c r="F768" s="7"/>
      <c r="G768" s="7"/>
      <c r="J768" s="7"/>
      <c r="K768" s="7"/>
      <c r="L768" s="7"/>
      <c r="O768" s="7"/>
      <c r="P768" s="7"/>
      <c r="Q768" s="7"/>
      <c r="R768" s="7"/>
      <c r="S768" s="7"/>
    </row>
    <row r="769" ht="14.25" customHeight="1">
      <c r="E769" s="7"/>
      <c r="F769" s="7"/>
      <c r="G769" s="7"/>
      <c r="J769" s="7"/>
      <c r="K769" s="7"/>
      <c r="L769" s="7"/>
      <c r="O769" s="7"/>
      <c r="P769" s="7"/>
      <c r="Q769" s="7"/>
      <c r="R769" s="7"/>
      <c r="S769" s="7"/>
    </row>
    <row r="770" ht="14.25" customHeight="1">
      <c r="E770" s="7"/>
      <c r="F770" s="7"/>
      <c r="G770" s="7"/>
      <c r="J770" s="7"/>
      <c r="K770" s="7"/>
      <c r="L770" s="7"/>
      <c r="O770" s="7"/>
      <c r="P770" s="7"/>
      <c r="Q770" s="7"/>
      <c r="R770" s="7"/>
      <c r="S770" s="7"/>
    </row>
    <row r="771" ht="14.25" customHeight="1">
      <c r="E771" s="7"/>
      <c r="F771" s="7"/>
      <c r="G771" s="7"/>
      <c r="J771" s="7"/>
      <c r="K771" s="7"/>
      <c r="L771" s="7"/>
      <c r="O771" s="7"/>
      <c r="P771" s="7"/>
      <c r="Q771" s="7"/>
      <c r="R771" s="7"/>
      <c r="S771" s="7"/>
    </row>
    <row r="772" ht="14.25" customHeight="1">
      <c r="E772" s="7"/>
      <c r="F772" s="7"/>
      <c r="G772" s="7"/>
      <c r="J772" s="7"/>
      <c r="K772" s="7"/>
      <c r="L772" s="7"/>
      <c r="O772" s="7"/>
      <c r="P772" s="7"/>
      <c r="Q772" s="7"/>
      <c r="R772" s="7"/>
      <c r="S772" s="7"/>
    </row>
    <row r="773" ht="14.25" customHeight="1">
      <c r="E773" s="7"/>
      <c r="F773" s="7"/>
      <c r="G773" s="7"/>
      <c r="J773" s="7"/>
      <c r="K773" s="7"/>
      <c r="L773" s="7"/>
      <c r="O773" s="7"/>
      <c r="P773" s="7"/>
      <c r="Q773" s="7"/>
      <c r="R773" s="7"/>
      <c r="S773" s="7"/>
    </row>
    <row r="774" ht="14.25" customHeight="1">
      <c r="E774" s="7"/>
      <c r="F774" s="7"/>
      <c r="G774" s="7"/>
      <c r="J774" s="7"/>
      <c r="K774" s="7"/>
      <c r="L774" s="7"/>
      <c r="O774" s="7"/>
      <c r="P774" s="7"/>
      <c r="Q774" s="7"/>
      <c r="R774" s="7"/>
      <c r="S774" s="7"/>
    </row>
    <row r="775" ht="14.25" customHeight="1">
      <c r="E775" s="7"/>
      <c r="F775" s="7"/>
      <c r="G775" s="7"/>
      <c r="J775" s="7"/>
      <c r="K775" s="7"/>
      <c r="L775" s="7"/>
      <c r="O775" s="7"/>
      <c r="P775" s="7"/>
      <c r="Q775" s="7"/>
      <c r="R775" s="7"/>
      <c r="S775" s="7"/>
    </row>
    <row r="776" ht="14.25" customHeight="1">
      <c r="E776" s="7"/>
      <c r="F776" s="7"/>
      <c r="G776" s="7"/>
      <c r="J776" s="7"/>
      <c r="K776" s="7"/>
      <c r="L776" s="7"/>
      <c r="O776" s="7"/>
      <c r="P776" s="7"/>
      <c r="Q776" s="7"/>
      <c r="R776" s="7"/>
      <c r="S776" s="7"/>
    </row>
    <row r="777" ht="14.25" customHeight="1">
      <c r="E777" s="7"/>
      <c r="F777" s="7"/>
      <c r="G777" s="7"/>
      <c r="J777" s="7"/>
      <c r="K777" s="7"/>
      <c r="L777" s="7"/>
      <c r="O777" s="7"/>
      <c r="P777" s="7"/>
      <c r="Q777" s="7"/>
      <c r="R777" s="7"/>
      <c r="S777" s="7"/>
    </row>
    <row r="778" ht="14.25" customHeight="1">
      <c r="E778" s="7"/>
      <c r="F778" s="7"/>
      <c r="G778" s="7"/>
      <c r="J778" s="7"/>
      <c r="K778" s="7"/>
      <c r="L778" s="7"/>
      <c r="O778" s="7"/>
      <c r="P778" s="7"/>
      <c r="Q778" s="7"/>
      <c r="R778" s="7"/>
      <c r="S778" s="7"/>
    </row>
    <row r="779" ht="14.25" customHeight="1">
      <c r="E779" s="7"/>
      <c r="F779" s="7"/>
      <c r="G779" s="7"/>
      <c r="J779" s="7"/>
      <c r="K779" s="7"/>
      <c r="L779" s="7"/>
      <c r="O779" s="7"/>
      <c r="P779" s="7"/>
      <c r="Q779" s="7"/>
      <c r="R779" s="7"/>
      <c r="S779" s="7"/>
    </row>
    <row r="780" ht="14.25" customHeight="1">
      <c r="E780" s="7"/>
      <c r="F780" s="7"/>
      <c r="G780" s="7"/>
      <c r="J780" s="7"/>
      <c r="K780" s="7"/>
      <c r="L780" s="7"/>
      <c r="O780" s="7"/>
      <c r="P780" s="7"/>
      <c r="Q780" s="7"/>
      <c r="R780" s="7"/>
      <c r="S780" s="7"/>
    </row>
    <row r="781" ht="14.25" customHeight="1">
      <c r="E781" s="7"/>
      <c r="F781" s="7"/>
      <c r="G781" s="7"/>
      <c r="J781" s="7"/>
      <c r="K781" s="7"/>
      <c r="L781" s="7"/>
      <c r="O781" s="7"/>
      <c r="P781" s="7"/>
      <c r="Q781" s="7"/>
      <c r="R781" s="7"/>
      <c r="S781" s="7"/>
    </row>
    <row r="782" ht="14.25" customHeight="1">
      <c r="E782" s="7"/>
      <c r="F782" s="7"/>
      <c r="G782" s="7"/>
      <c r="J782" s="7"/>
      <c r="K782" s="7"/>
      <c r="L782" s="7"/>
      <c r="O782" s="7"/>
      <c r="P782" s="7"/>
      <c r="Q782" s="7"/>
      <c r="R782" s="7"/>
      <c r="S782" s="7"/>
    </row>
    <row r="783" ht="14.25" customHeight="1">
      <c r="E783" s="7"/>
      <c r="F783" s="7"/>
      <c r="G783" s="7"/>
      <c r="J783" s="7"/>
      <c r="K783" s="7"/>
      <c r="L783" s="7"/>
      <c r="O783" s="7"/>
      <c r="P783" s="7"/>
      <c r="Q783" s="7"/>
      <c r="R783" s="7"/>
      <c r="S783" s="7"/>
    </row>
    <row r="784" ht="14.25" customHeight="1">
      <c r="E784" s="7"/>
      <c r="F784" s="7"/>
      <c r="G784" s="7"/>
      <c r="J784" s="7"/>
      <c r="K784" s="7"/>
      <c r="L784" s="7"/>
      <c r="O784" s="7"/>
      <c r="P784" s="7"/>
      <c r="Q784" s="7"/>
      <c r="R784" s="7"/>
      <c r="S784" s="7"/>
    </row>
    <row r="785" ht="14.25" customHeight="1">
      <c r="E785" s="7"/>
      <c r="F785" s="7"/>
      <c r="G785" s="7"/>
      <c r="J785" s="7"/>
      <c r="K785" s="7"/>
      <c r="L785" s="7"/>
      <c r="O785" s="7"/>
      <c r="P785" s="7"/>
      <c r="Q785" s="7"/>
      <c r="R785" s="7"/>
      <c r="S785" s="7"/>
    </row>
    <row r="786" ht="14.25" customHeight="1">
      <c r="E786" s="7"/>
      <c r="F786" s="7"/>
      <c r="G786" s="7"/>
      <c r="J786" s="7"/>
      <c r="K786" s="7"/>
      <c r="L786" s="7"/>
      <c r="O786" s="7"/>
      <c r="P786" s="7"/>
      <c r="Q786" s="7"/>
      <c r="R786" s="7"/>
      <c r="S786" s="7"/>
    </row>
    <row r="787" ht="14.25" customHeight="1">
      <c r="E787" s="7"/>
      <c r="F787" s="7"/>
      <c r="G787" s="7"/>
      <c r="J787" s="7"/>
      <c r="K787" s="7"/>
      <c r="L787" s="7"/>
      <c r="O787" s="7"/>
      <c r="P787" s="7"/>
      <c r="Q787" s="7"/>
      <c r="R787" s="7"/>
      <c r="S787" s="7"/>
    </row>
    <row r="788" ht="14.25" customHeight="1">
      <c r="E788" s="7"/>
      <c r="F788" s="7"/>
      <c r="G788" s="7"/>
      <c r="J788" s="7"/>
      <c r="K788" s="7"/>
      <c r="L788" s="7"/>
      <c r="O788" s="7"/>
      <c r="P788" s="7"/>
      <c r="Q788" s="7"/>
      <c r="R788" s="7"/>
      <c r="S788" s="7"/>
    </row>
    <row r="789" ht="14.25" customHeight="1">
      <c r="E789" s="7"/>
      <c r="F789" s="7"/>
      <c r="G789" s="7"/>
      <c r="J789" s="7"/>
      <c r="K789" s="7"/>
      <c r="L789" s="7"/>
      <c r="O789" s="7"/>
      <c r="P789" s="7"/>
      <c r="Q789" s="7"/>
      <c r="R789" s="7"/>
      <c r="S789" s="7"/>
    </row>
    <row r="790" ht="14.25" customHeight="1">
      <c r="E790" s="7"/>
      <c r="F790" s="7"/>
      <c r="G790" s="7"/>
      <c r="J790" s="7"/>
      <c r="K790" s="7"/>
      <c r="L790" s="7"/>
      <c r="O790" s="7"/>
      <c r="P790" s="7"/>
      <c r="Q790" s="7"/>
      <c r="R790" s="7"/>
      <c r="S790" s="7"/>
    </row>
    <row r="791" ht="14.25" customHeight="1">
      <c r="E791" s="7"/>
      <c r="F791" s="7"/>
      <c r="G791" s="7"/>
      <c r="J791" s="7"/>
      <c r="K791" s="7"/>
      <c r="L791" s="7"/>
      <c r="O791" s="7"/>
      <c r="P791" s="7"/>
      <c r="Q791" s="7"/>
      <c r="R791" s="7"/>
      <c r="S791" s="7"/>
    </row>
    <row r="792" ht="14.25" customHeight="1">
      <c r="E792" s="7"/>
      <c r="F792" s="7"/>
      <c r="G792" s="7"/>
      <c r="J792" s="7"/>
      <c r="K792" s="7"/>
      <c r="L792" s="7"/>
      <c r="O792" s="7"/>
      <c r="P792" s="7"/>
      <c r="Q792" s="7"/>
      <c r="R792" s="7"/>
      <c r="S792" s="7"/>
    </row>
    <row r="793" ht="14.25" customHeight="1">
      <c r="E793" s="7"/>
      <c r="F793" s="7"/>
      <c r="G793" s="7"/>
      <c r="J793" s="7"/>
      <c r="K793" s="7"/>
      <c r="L793" s="7"/>
      <c r="O793" s="7"/>
      <c r="P793" s="7"/>
      <c r="Q793" s="7"/>
      <c r="R793" s="7"/>
      <c r="S793" s="7"/>
    </row>
    <row r="794" ht="14.25" customHeight="1">
      <c r="E794" s="7"/>
      <c r="F794" s="7"/>
      <c r="G794" s="7"/>
      <c r="J794" s="7"/>
      <c r="K794" s="7"/>
      <c r="L794" s="7"/>
      <c r="O794" s="7"/>
      <c r="P794" s="7"/>
      <c r="Q794" s="7"/>
      <c r="R794" s="7"/>
      <c r="S794" s="7"/>
    </row>
    <row r="795" ht="14.25" customHeight="1">
      <c r="E795" s="7"/>
      <c r="F795" s="7"/>
      <c r="G795" s="7"/>
      <c r="J795" s="7"/>
      <c r="K795" s="7"/>
      <c r="L795" s="7"/>
      <c r="O795" s="7"/>
      <c r="P795" s="7"/>
      <c r="Q795" s="7"/>
      <c r="R795" s="7"/>
      <c r="S795" s="7"/>
    </row>
    <row r="796" ht="14.25" customHeight="1">
      <c r="E796" s="7"/>
      <c r="F796" s="7"/>
      <c r="G796" s="7"/>
      <c r="J796" s="7"/>
      <c r="K796" s="7"/>
      <c r="L796" s="7"/>
      <c r="O796" s="7"/>
      <c r="P796" s="7"/>
      <c r="Q796" s="7"/>
      <c r="R796" s="7"/>
      <c r="S796" s="7"/>
    </row>
    <row r="797" ht="14.25" customHeight="1">
      <c r="E797" s="7"/>
      <c r="F797" s="7"/>
      <c r="G797" s="7"/>
      <c r="J797" s="7"/>
      <c r="K797" s="7"/>
      <c r="L797" s="7"/>
      <c r="O797" s="7"/>
      <c r="P797" s="7"/>
      <c r="Q797" s="7"/>
      <c r="R797" s="7"/>
      <c r="S797" s="7"/>
    </row>
    <row r="798" ht="14.25" customHeight="1">
      <c r="E798" s="7"/>
      <c r="F798" s="7"/>
      <c r="G798" s="7"/>
      <c r="J798" s="7"/>
      <c r="K798" s="7"/>
      <c r="L798" s="7"/>
      <c r="O798" s="7"/>
      <c r="P798" s="7"/>
      <c r="Q798" s="7"/>
      <c r="R798" s="7"/>
      <c r="S798" s="7"/>
    </row>
    <row r="799" ht="14.25" customHeight="1">
      <c r="E799" s="7"/>
      <c r="F799" s="7"/>
      <c r="G799" s="7"/>
      <c r="J799" s="7"/>
      <c r="K799" s="7"/>
      <c r="L799" s="7"/>
      <c r="O799" s="7"/>
      <c r="P799" s="7"/>
      <c r="Q799" s="7"/>
      <c r="R799" s="7"/>
      <c r="S799" s="7"/>
    </row>
    <row r="800" ht="14.25" customHeight="1">
      <c r="E800" s="7"/>
      <c r="F800" s="7"/>
      <c r="G800" s="7"/>
      <c r="J800" s="7"/>
      <c r="K800" s="7"/>
      <c r="L800" s="7"/>
      <c r="O800" s="7"/>
      <c r="P800" s="7"/>
      <c r="Q800" s="7"/>
      <c r="R800" s="7"/>
      <c r="S800" s="7"/>
    </row>
    <row r="801" ht="14.25" customHeight="1">
      <c r="E801" s="7"/>
      <c r="F801" s="7"/>
      <c r="G801" s="7"/>
      <c r="J801" s="7"/>
      <c r="K801" s="7"/>
      <c r="L801" s="7"/>
      <c r="O801" s="7"/>
      <c r="P801" s="7"/>
      <c r="Q801" s="7"/>
      <c r="R801" s="7"/>
      <c r="S801" s="7"/>
    </row>
    <row r="802" ht="14.25" customHeight="1">
      <c r="E802" s="7"/>
      <c r="F802" s="7"/>
      <c r="G802" s="7"/>
      <c r="J802" s="7"/>
      <c r="K802" s="7"/>
      <c r="L802" s="7"/>
      <c r="O802" s="7"/>
      <c r="P802" s="7"/>
      <c r="Q802" s="7"/>
      <c r="R802" s="7"/>
      <c r="S802" s="7"/>
    </row>
    <row r="803" ht="14.25" customHeight="1">
      <c r="E803" s="7"/>
      <c r="F803" s="7"/>
      <c r="G803" s="7"/>
      <c r="J803" s="7"/>
      <c r="K803" s="7"/>
      <c r="L803" s="7"/>
      <c r="O803" s="7"/>
      <c r="P803" s="7"/>
      <c r="Q803" s="7"/>
      <c r="R803" s="7"/>
      <c r="S803" s="7"/>
    </row>
    <row r="804" ht="14.25" customHeight="1">
      <c r="E804" s="7"/>
      <c r="F804" s="7"/>
      <c r="G804" s="7"/>
      <c r="J804" s="7"/>
      <c r="K804" s="7"/>
      <c r="L804" s="7"/>
      <c r="O804" s="7"/>
      <c r="P804" s="7"/>
      <c r="Q804" s="7"/>
      <c r="R804" s="7"/>
      <c r="S804" s="7"/>
    </row>
    <row r="805" ht="14.25" customHeight="1">
      <c r="E805" s="7"/>
      <c r="F805" s="7"/>
      <c r="G805" s="7"/>
      <c r="J805" s="7"/>
      <c r="K805" s="7"/>
      <c r="L805" s="7"/>
      <c r="O805" s="7"/>
      <c r="P805" s="7"/>
      <c r="Q805" s="7"/>
      <c r="R805" s="7"/>
      <c r="S805" s="7"/>
    </row>
    <row r="806" ht="14.25" customHeight="1">
      <c r="E806" s="7"/>
      <c r="F806" s="7"/>
      <c r="G806" s="7"/>
      <c r="J806" s="7"/>
      <c r="K806" s="7"/>
      <c r="L806" s="7"/>
      <c r="O806" s="7"/>
      <c r="P806" s="7"/>
      <c r="Q806" s="7"/>
      <c r="R806" s="7"/>
      <c r="S806" s="7"/>
    </row>
    <row r="807" ht="14.25" customHeight="1">
      <c r="E807" s="7"/>
      <c r="F807" s="7"/>
      <c r="G807" s="7"/>
      <c r="J807" s="7"/>
      <c r="K807" s="7"/>
      <c r="L807" s="7"/>
      <c r="O807" s="7"/>
      <c r="P807" s="7"/>
      <c r="Q807" s="7"/>
      <c r="R807" s="7"/>
      <c r="S807" s="7"/>
    </row>
    <row r="808" ht="14.25" customHeight="1">
      <c r="E808" s="7"/>
      <c r="F808" s="7"/>
      <c r="G808" s="7"/>
      <c r="J808" s="7"/>
      <c r="K808" s="7"/>
      <c r="L808" s="7"/>
      <c r="O808" s="7"/>
      <c r="P808" s="7"/>
      <c r="Q808" s="7"/>
      <c r="R808" s="7"/>
      <c r="S808" s="7"/>
    </row>
    <row r="809" ht="14.25" customHeight="1">
      <c r="E809" s="7"/>
      <c r="F809" s="7"/>
      <c r="G809" s="7"/>
      <c r="J809" s="7"/>
      <c r="K809" s="7"/>
      <c r="L809" s="7"/>
      <c r="O809" s="7"/>
      <c r="P809" s="7"/>
      <c r="Q809" s="7"/>
      <c r="R809" s="7"/>
      <c r="S809" s="7"/>
    </row>
    <row r="810" ht="14.25" customHeight="1">
      <c r="E810" s="7"/>
      <c r="F810" s="7"/>
      <c r="G810" s="7"/>
      <c r="J810" s="7"/>
      <c r="K810" s="7"/>
      <c r="L810" s="7"/>
      <c r="O810" s="7"/>
      <c r="P810" s="7"/>
      <c r="Q810" s="7"/>
      <c r="R810" s="7"/>
      <c r="S810" s="7"/>
    </row>
    <row r="811" ht="14.25" customHeight="1">
      <c r="E811" s="7"/>
      <c r="F811" s="7"/>
      <c r="G811" s="7"/>
      <c r="J811" s="7"/>
      <c r="K811" s="7"/>
      <c r="L811" s="7"/>
      <c r="O811" s="7"/>
      <c r="P811" s="7"/>
      <c r="Q811" s="7"/>
      <c r="R811" s="7"/>
      <c r="S811" s="7"/>
    </row>
    <row r="812" ht="14.25" customHeight="1">
      <c r="E812" s="7"/>
      <c r="F812" s="7"/>
      <c r="G812" s="7"/>
      <c r="J812" s="7"/>
      <c r="K812" s="7"/>
      <c r="L812" s="7"/>
      <c r="O812" s="7"/>
      <c r="P812" s="7"/>
      <c r="Q812" s="7"/>
      <c r="R812" s="7"/>
      <c r="S812" s="7"/>
    </row>
    <row r="813" ht="14.25" customHeight="1">
      <c r="E813" s="7"/>
      <c r="F813" s="7"/>
      <c r="G813" s="7"/>
      <c r="J813" s="7"/>
      <c r="K813" s="7"/>
      <c r="L813" s="7"/>
      <c r="O813" s="7"/>
      <c r="P813" s="7"/>
      <c r="Q813" s="7"/>
      <c r="R813" s="7"/>
      <c r="S813" s="7"/>
    </row>
    <row r="814" ht="14.25" customHeight="1">
      <c r="E814" s="7"/>
      <c r="F814" s="7"/>
      <c r="G814" s="7"/>
      <c r="J814" s="7"/>
      <c r="K814" s="7"/>
      <c r="L814" s="7"/>
      <c r="O814" s="7"/>
      <c r="P814" s="7"/>
      <c r="Q814" s="7"/>
      <c r="R814" s="7"/>
      <c r="S814" s="7"/>
    </row>
    <row r="815" ht="14.25" customHeight="1">
      <c r="E815" s="7"/>
      <c r="F815" s="7"/>
      <c r="G815" s="7"/>
      <c r="J815" s="7"/>
      <c r="K815" s="7"/>
      <c r="L815" s="7"/>
      <c r="O815" s="7"/>
      <c r="P815" s="7"/>
      <c r="Q815" s="7"/>
      <c r="R815" s="7"/>
      <c r="S815" s="7"/>
    </row>
    <row r="816" ht="14.25" customHeight="1">
      <c r="E816" s="7"/>
      <c r="F816" s="7"/>
      <c r="G816" s="7"/>
      <c r="J816" s="7"/>
      <c r="K816" s="7"/>
      <c r="L816" s="7"/>
      <c r="O816" s="7"/>
      <c r="P816" s="7"/>
      <c r="Q816" s="7"/>
      <c r="R816" s="7"/>
      <c r="S816" s="7"/>
    </row>
    <row r="817" ht="14.25" customHeight="1">
      <c r="E817" s="7"/>
      <c r="F817" s="7"/>
      <c r="G817" s="7"/>
      <c r="J817" s="7"/>
      <c r="K817" s="7"/>
      <c r="L817" s="7"/>
      <c r="O817" s="7"/>
      <c r="P817" s="7"/>
      <c r="Q817" s="7"/>
      <c r="R817" s="7"/>
      <c r="S817" s="7"/>
    </row>
    <row r="818" ht="14.25" customHeight="1">
      <c r="E818" s="7"/>
      <c r="F818" s="7"/>
      <c r="G818" s="7"/>
      <c r="J818" s="7"/>
      <c r="K818" s="7"/>
      <c r="L818" s="7"/>
      <c r="O818" s="7"/>
      <c r="P818" s="7"/>
      <c r="Q818" s="7"/>
      <c r="R818" s="7"/>
      <c r="S818" s="7"/>
    </row>
    <row r="819" ht="14.25" customHeight="1">
      <c r="E819" s="7"/>
      <c r="F819" s="7"/>
      <c r="G819" s="7"/>
      <c r="J819" s="7"/>
      <c r="K819" s="7"/>
      <c r="L819" s="7"/>
      <c r="O819" s="7"/>
      <c r="P819" s="7"/>
      <c r="Q819" s="7"/>
      <c r="R819" s="7"/>
      <c r="S819" s="7"/>
    </row>
    <row r="820" ht="14.25" customHeight="1">
      <c r="E820" s="7"/>
      <c r="F820" s="7"/>
      <c r="G820" s="7"/>
      <c r="J820" s="7"/>
      <c r="K820" s="7"/>
      <c r="L820" s="7"/>
      <c r="O820" s="7"/>
      <c r="P820" s="7"/>
      <c r="Q820" s="7"/>
      <c r="R820" s="7"/>
      <c r="S820" s="7"/>
    </row>
    <row r="821" ht="14.25" customHeight="1">
      <c r="E821" s="7"/>
      <c r="F821" s="7"/>
      <c r="G821" s="7"/>
      <c r="J821" s="7"/>
      <c r="K821" s="7"/>
      <c r="L821" s="7"/>
      <c r="O821" s="7"/>
      <c r="P821" s="7"/>
      <c r="Q821" s="7"/>
      <c r="R821" s="7"/>
      <c r="S821" s="7"/>
    </row>
    <row r="822" ht="14.25" customHeight="1">
      <c r="E822" s="7"/>
      <c r="F822" s="7"/>
      <c r="G822" s="7"/>
      <c r="J822" s="7"/>
      <c r="K822" s="7"/>
      <c r="L822" s="7"/>
      <c r="O822" s="7"/>
      <c r="P822" s="7"/>
      <c r="Q822" s="7"/>
      <c r="R822" s="7"/>
      <c r="S822" s="7"/>
    </row>
    <row r="823" ht="14.25" customHeight="1">
      <c r="E823" s="7"/>
      <c r="F823" s="7"/>
      <c r="G823" s="7"/>
      <c r="J823" s="7"/>
      <c r="K823" s="7"/>
      <c r="L823" s="7"/>
      <c r="O823" s="7"/>
      <c r="P823" s="7"/>
      <c r="Q823" s="7"/>
      <c r="R823" s="7"/>
      <c r="S823" s="7"/>
    </row>
    <row r="824" ht="14.25" customHeight="1">
      <c r="E824" s="7"/>
      <c r="F824" s="7"/>
      <c r="G824" s="7"/>
      <c r="J824" s="7"/>
      <c r="K824" s="7"/>
      <c r="L824" s="7"/>
      <c r="O824" s="7"/>
      <c r="P824" s="7"/>
      <c r="Q824" s="7"/>
      <c r="R824" s="7"/>
      <c r="S824" s="7"/>
    </row>
    <row r="825" ht="14.25" customHeight="1">
      <c r="E825" s="7"/>
      <c r="F825" s="7"/>
      <c r="G825" s="7"/>
      <c r="J825" s="7"/>
      <c r="K825" s="7"/>
      <c r="L825" s="7"/>
      <c r="O825" s="7"/>
      <c r="P825" s="7"/>
      <c r="Q825" s="7"/>
      <c r="R825" s="7"/>
      <c r="S825" s="7"/>
    </row>
    <row r="826" ht="14.25" customHeight="1">
      <c r="E826" s="7"/>
      <c r="F826" s="7"/>
      <c r="G826" s="7"/>
      <c r="J826" s="7"/>
      <c r="K826" s="7"/>
      <c r="L826" s="7"/>
      <c r="O826" s="7"/>
      <c r="P826" s="7"/>
      <c r="Q826" s="7"/>
      <c r="R826" s="7"/>
      <c r="S826" s="7"/>
    </row>
    <row r="827" ht="14.25" customHeight="1">
      <c r="E827" s="7"/>
      <c r="F827" s="7"/>
      <c r="G827" s="7"/>
      <c r="J827" s="7"/>
      <c r="K827" s="7"/>
      <c r="L827" s="7"/>
      <c r="O827" s="7"/>
      <c r="P827" s="7"/>
      <c r="Q827" s="7"/>
      <c r="R827" s="7"/>
      <c r="S827" s="7"/>
    </row>
    <row r="828" ht="14.25" customHeight="1">
      <c r="E828" s="7"/>
      <c r="F828" s="7"/>
      <c r="G828" s="7"/>
      <c r="J828" s="7"/>
      <c r="K828" s="7"/>
      <c r="L828" s="7"/>
      <c r="O828" s="7"/>
      <c r="P828" s="7"/>
      <c r="Q828" s="7"/>
      <c r="R828" s="7"/>
      <c r="S828" s="7"/>
    </row>
    <row r="829" ht="14.25" customHeight="1">
      <c r="E829" s="7"/>
      <c r="F829" s="7"/>
      <c r="G829" s="7"/>
      <c r="J829" s="7"/>
      <c r="K829" s="7"/>
      <c r="L829" s="7"/>
      <c r="O829" s="7"/>
      <c r="P829" s="7"/>
      <c r="Q829" s="7"/>
      <c r="R829" s="7"/>
      <c r="S829" s="7"/>
    </row>
    <row r="830" ht="14.25" customHeight="1">
      <c r="E830" s="7"/>
      <c r="F830" s="7"/>
      <c r="G830" s="7"/>
      <c r="J830" s="7"/>
      <c r="K830" s="7"/>
      <c r="L830" s="7"/>
      <c r="O830" s="7"/>
      <c r="P830" s="7"/>
      <c r="Q830" s="7"/>
      <c r="R830" s="7"/>
      <c r="S830" s="7"/>
    </row>
    <row r="831" ht="14.25" customHeight="1">
      <c r="E831" s="7"/>
      <c r="F831" s="7"/>
      <c r="G831" s="7"/>
      <c r="J831" s="7"/>
      <c r="K831" s="7"/>
      <c r="L831" s="7"/>
      <c r="O831" s="7"/>
      <c r="P831" s="7"/>
      <c r="Q831" s="7"/>
      <c r="R831" s="7"/>
      <c r="S831" s="7"/>
    </row>
    <row r="832" ht="14.25" customHeight="1">
      <c r="E832" s="7"/>
      <c r="F832" s="7"/>
      <c r="G832" s="7"/>
      <c r="J832" s="7"/>
      <c r="K832" s="7"/>
      <c r="L832" s="7"/>
      <c r="O832" s="7"/>
      <c r="P832" s="7"/>
      <c r="Q832" s="7"/>
      <c r="R832" s="7"/>
      <c r="S832" s="7"/>
    </row>
    <row r="833" ht="14.25" customHeight="1">
      <c r="E833" s="7"/>
      <c r="F833" s="7"/>
      <c r="G833" s="7"/>
      <c r="J833" s="7"/>
      <c r="K833" s="7"/>
      <c r="L833" s="7"/>
      <c r="O833" s="7"/>
      <c r="P833" s="7"/>
      <c r="Q833" s="7"/>
      <c r="R833" s="7"/>
      <c r="S833" s="7"/>
    </row>
    <row r="834" ht="14.25" customHeight="1">
      <c r="E834" s="7"/>
      <c r="F834" s="7"/>
      <c r="G834" s="7"/>
      <c r="J834" s="7"/>
      <c r="K834" s="7"/>
      <c r="L834" s="7"/>
      <c r="O834" s="7"/>
      <c r="P834" s="7"/>
      <c r="Q834" s="7"/>
      <c r="R834" s="7"/>
      <c r="S834" s="7"/>
    </row>
    <row r="835" ht="14.25" customHeight="1">
      <c r="E835" s="7"/>
      <c r="F835" s="7"/>
      <c r="G835" s="7"/>
      <c r="J835" s="7"/>
      <c r="K835" s="7"/>
      <c r="L835" s="7"/>
      <c r="O835" s="7"/>
      <c r="P835" s="7"/>
      <c r="Q835" s="7"/>
      <c r="R835" s="7"/>
      <c r="S835" s="7"/>
    </row>
    <row r="836" ht="14.25" customHeight="1">
      <c r="E836" s="7"/>
      <c r="F836" s="7"/>
      <c r="G836" s="7"/>
      <c r="J836" s="7"/>
      <c r="K836" s="7"/>
      <c r="L836" s="7"/>
      <c r="O836" s="7"/>
      <c r="P836" s="7"/>
      <c r="Q836" s="7"/>
      <c r="R836" s="7"/>
      <c r="S836" s="7"/>
    </row>
    <row r="837" ht="14.25" customHeight="1">
      <c r="E837" s="7"/>
      <c r="F837" s="7"/>
      <c r="G837" s="7"/>
      <c r="J837" s="7"/>
      <c r="K837" s="7"/>
      <c r="L837" s="7"/>
      <c r="O837" s="7"/>
      <c r="P837" s="7"/>
      <c r="Q837" s="7"/>
      <c r="R837" s="7"/>
      <c r="S837" s="7"/>
    </row>
    <row r="838" ht="14.25" customHeight="1">
      <c r="E838" s="7"/>
      <c r="F838" s="7"/>
      <c r="G838" s="7"/>
      <c r="J838" s="7"/>
      <c r="K838" s="7"/>
      <c r="L838" s="7"/>
      <c r="O838" s="7"/>
      <c r="P838" s="7"/>
      <c r="Q838" s="7"/>
      <c r="R838" s="7"/>
      <c r="S838" s="7"/>
    </row>
    <row r="839" ht="14.25" customHeight="1">
      <c r="E839" s="7"/>
      <c r="F839" s="7"/>
      <c r="G839" s="7"/>
      <c r="J839" s="7"/>
      <c r="K839" s="7"/>
      <c r="L839" s="7"/>
      <c r="O839" s="7"/>
      <c r="P839" s="7"/>
      <c r="Q839" s="7"/>
      <c r="R839" s="7"/>
      <c r="S839" s="7"/>
    </row>
    <row r="840" ht="14.25" customHeight="1">
      <c r="E840" s="7"/>
      <c r="F840" s="7"/>
      <c r="G840" s="7"/>
      <c r="J840" s="7"/>
      <c r="K840" s="7"/>
      <c r="L840" s="7"/>
      <c r="O840" s="7"/>
      <c r="P840" s="7"/>
      <c r="Q840" s="7"/>
      <c r="R840" s="7"/>
      <c r="S840" s="7"/>
    </row>
    <row r="841" ht="14.25" customHeight="1">
      <c r="E841" s="7"/>
      <c r="F841" s="7"/>
      <c r="G841" s="7"/>
      <c r="J841" s="7"/>
      <c r="K841" s="7"/>
      <c r="L841" s="7"/>
      <c r="O841" s="7"/>
      <c r="P841" s="7"/>
      <c r="Q841" s="7"/>
      <c r="R841" s="7"/>
      <c r="S841" s="7"/>
    </row>
    <row r="842" ht="14.25" customHeight="1">
      <c r="E842" s="7"/>
      <c r="F842" s="7"/>
      <c r="G842" s="7"/>
      <c r="J842" s="7"/>
      <c r="K842" s="7"/>
      <c r="L842" s="7"/>
      <c r="O842" s="7"/>
      <c r="P842" s="7"/>
      <c r="Q842" s="7"/>
      <c r="R842" s="7"/>
      <c r="S842" s="7"/>
    </row>
    <row r="843" ht="14.25" customHeight="1">
      <c r="E843" s="7"/>
      <c r="F843" s="7"/>
      <c r="G843" s="7"/>
      <c r="J843" s="7"/>
      <c r="K843" s="7"/>
      <c r="L843" s="7"/>
      <c r="O843" s="7"/>
      <c r="P843" s="7"/>
      <c r="Q843" s="7"/>
      <c r="R843" s="7"/>
      <c r="S843" s="7"/>
    </row>
    <row r="844" ht="14.25" customHeight="1">
      <c r="E844" s="7"/>
      <c r="F844" s="7"/>
      <c r="G844" s="7"/>
      <c r="J844" s="7"/>
      <c r="K844" s="7"/>
      <c r="L844" s="7"/>
      <c r="O844" s="7"/>
      <c r="P844" s="7"/>
      <c r="Q844" s="7"/>
      <c r="R844" s="7"/>
      <c r="S844" s="7"/>
    </row>
    <row r="845" ht="14.25" customHeight="1">
      <c r="E845" s="7"/>
      <c r="F845" s="7"/>
      <c r="G845" s="7"/>
      <c r="J845" s="7"/>
      <c r="K845" s="7"/>
      <c r="L845" s="7"/>
      <c r="O845" s="7"/>
      <c r="P845" s="7"/>
      <c r="Q845" s="7"/>
      <c r="R845" s="7"/>
      <c r="S845" s="7"/>
    </row>
    <row r="846" ht="14.25" customHeight="1">
      <c r="E846" s="7"/>
      <c r="F846" s="7"/>
      <c r="G846" s="7"/>
      <c r="J846" s="7"/>
      <c r="K846" s="7"/>
      <c r="L846" s="7"/>
      <c r="O846" s="7"/>
      <c r="P846" s="7"/>
      <c r="Q846" s="7"/>
      <c r="R846" s="7"/>
      <c r="S846" s="7"/>
    </row>
    <row r="847" ht="14.25" customHeight="1">
      <c r="E847" s="7"/>
      <c r="F847" s="7"/>
      <c r="G847" s="7"/>
      <c r="J847" s="7"/>
      <c r="K847" s="7"/>
      <c r="L847" s="7"/>
      <c r="O847" s="7"/>
      <c r="P847" s="7"/>
      <c r="Q847" s="7"/>
      <c r="R847" s="7"/>
      <c r="S847" s="7"/>
    </row>
    <row r="848" ht="14.25" customHeight="1">
      <c r="E848" s="7"/>
      <c r="F848" s="7"/>
      <c r="G848" s="7"/>
      <c r="J848" s="7"/>
      <c r="K848" s="7"/>
      <c r="L848" s="7"/>
      <c r="O848" s="7"/>
      <c r="P848" s="7"/>
      <c r="Q848" s="7"/>
      <c r="R848" s="7"/>
      <c r="S848" s="7"/>
    </row>
    <row r="849" ht="14.25" customHeight="1">
      <c r="E849" s="7"/>
      <c r="F849" s="7"/>
      <c r="G849" s="7"/>
      <c r="J849" s="7"/>
      <c r="K849" s="7"/>
      <c r="L849" s="7"/>
      <c r="O849" s="7"/>
      <c r="P849" s="7"/>
      <c r="Q849" s="7"/>
      <c r="R849" s="7"/>
      <c r="S849" s="7"/>
    </row>
    <row r="850" ht="14.25" customHeight="1">
      <c r="E850" s="7"/>
      <c r="F850" s="7"/>
      <c r="G850" s="7"/>
      <c r="J850" s="7"/>
      <c r="K850" s="7"/>
      <c r="L850" s="7"/>
      <c r="O850" s="7"/>
      <c r="P850" s="7"/>
      <c r="Q850" s="7"/>
      <c r="R850" s="7"/>
      <c r="S850" s="7"/>
    </row>
    <row r="851" ht="14.25" customHeight="1">
      <c r="E851" s="7"/>
      <c r="F851" s="7"/>
      <c r="G851" s="7"/>
      <c r="J851" s="7"/>
      <c r="K851" s="7"/>
      <c r="L851" s="7"/>
      <c r="O851" s="7"/>
      <c r="P851" s="7"/>
      <c r="Q851" s="7"/>
      <c r="R851" s="7"/>
      <c r="S851" s="7"/>
    </row>
    <row r="852" ht="14.25" customHeight="1">
      <c r="E852" s="7"/>
      <c r="F852" s="7"/>
      <c r="G852" s="7"/>
      <c r="J852" s="7"/>
      <c r="K852" s="7"/>
      <c r="L852" s="7"/>
      <c r="O852" s="7"/>
      <c r="P852" s="7"/>
      <c r="Q852" s="7"/>
      <c r="R852" s="7"/>
      <c r="S852" s="7"/>
    </row>
    <row r="853" ht="14.25" customHeight="1">
      <c r="E853" s="7"/>
      <c r="F853" s="7"/>
      <c r="G853" s="7"/>
      <c r="J853" s="7"/>
      <c r="K853" s="7"/>
      <c r="L853" s="7"/>
      <c r="O853" s="7"/>
      <c r="P853" s="7"/>
      <c r="Q853" s="7"/>
      <c r="R853" s="7"/>
      <c r="S853" s="7"/>
    </row>
    <row r="854" ht="14.25" customHeight="1">
      <c r="E854" s="7"/>
      <c r="F854" s="7"/>
      <c r="G854" s="7"/>
      <c r="J854" s="7"/>
      <c r="K854" s="7"/>
      <c r="L854" s="7"/>
      <c r="O854" s="7"/>
      <c r="P854" s="7"/>
      <c r="Q854" s="7"/>
      <c r="R854" s="7"/>
      <c r="S854" s="7"/>
    </row>
    <row r="855" ht="14.25" customHeight="1">
      <c r="E855" s="7"/>
      <c r="F855" s="7"/>
      <c r="G855" s="7"/>
      <c r="J855" s="7"/>
      <c r="K855" s="7"/>
      <c r="L855" s="7"/>
      <c r="O855" s="7"/>
      <c r="P855" s="7"/>
      <c r="Q855" s="7"/>
      <c r="R855" s="7"/>
      <c r="S855" s="7"/>
    </row>
    <row r="856" ht="14.25" customHeight="1">
      <c r="E856" s="7"/>
      <c r="F856" s="7"/>
      <c r="G856" s="7"/>
      <c r="J856" s="7"/>
      <c r="K856" s="7"/>
      <c r="L856" s="7"/>
      <c r="O856" s="7"/>
      <c r="P856" s="7"/>
      <c r="Q856" s="7"/>
      <c r="R856" s="7"/>
      <c r="S856" s="7"/>
    </row>
    <row r="857" ht="14.25" customHeight="1">
      <c r="E857" s="7"/>
      <c r="F857" s="7"/>
      <c r="G857" s="7"/>
      <c r="J857" s="7"/>
      <c r="K857" s="7"/>
      <c r="L857" s="7"/>
      <c r="O857" s="7"/>
      <c r="P857" s="7"/>
      <c r="Q857" s="7"/>
      <c r="R857" s="7"/>
      <c r="S857" s="7"/>
    </row>
    <row r="858" ht="14.25" customHeight="1">
      <c r="E858" s="7"/>
      <c r="F858" s="7"/>
      <c r="G858" s="7"/>
      <c r="J858" s="7"/>
      <c r="K858" s="7"/>
      <c r="L858" s="7"/>
      <c r="O858" s="7"/>
      <c r="P858" s="7"/>
      <c r="Q858" s="7"/>
      <c r="R858" s="7"/>
      <c r="S858" s="7"/>
    </row>
    <row r="859" ht="14.25" customHeight="1">
      <c r="E859" s="7"/>
      <c r="F859" s="7"/>
      <c r="G859" s="7"/>
      <c r="J859" s="7"/>
      <c r="K859" s="7"/>
      <c r="L859" s="7"/>
      <c r="O859" s="7"/>
      <c r="P859" s="7"/>
      <c r="Q859" s="7"/>
      <c r="R859" s="7"/>
      <c r="S859" s="7"/>
    </row>
    <row r="860" ht="14.25" customHeight="1">
      <c r="E860" s="7"/>
      <c r="F860" s="7"/>
      <c r="G860" s="7"/>
      <c r="J860" s="7"/>
      <c r="K860" s="7"/>
      <c r="L860" s="7"/>
      <c r="O860" s="7"/>
      <c r="P860" s="7"/>
      <c r="Q860" s="7"/>
      <c r="R860" s="7"/>
      <c r="S860" s="7"/>
    </row>
    <row r="861" ht="14.25" customHeight="1">
      <c r="E861" s="7"/>
      <c r="F861" s="7"/>
      <c r="G861" s="7"/>
      <c r="J861" s="7"/>
      <c r="K861" s="7"/>
      <c r="L861" s="7"/>
      <c r="O861" s="7"/>
      <c r="P861" s="7"/>
      <c r="Q861" s="7"/>
      <c r="R861" s="7"/>
      <c r="S861" s="7"/>
    </row>
    <row r="862" ht="14.25" customHeight="1">
      <c r="E862" s="7"/>
      <c r="F862" s="7"/>
      <c r="G862" s="7"/>
      <c r="J862" s="7"/>
      <c r="K862" s="7"/>
      <c r="L862" s="7"/>
      <c r="O862" s="7"/>
      <c r="P862" s="7"/>
      <c r="Q862" s="7"/>
      <c r="R862" s="7"/>
      <c r="S862" s="7"/>
    </row>
    <row r="863" ht="14.25" customHeight="1">
      <c r="E863" s="7"/>
      <c r="F863" s="7"/>
      <c r="G863" s="7"/>
      <c r="J863" s="7"/>
      <c r="K863" s="7"/>
      <c r="L863" s="7"/>
      <c r="O863" s="7"/>
      <c r="P863" s="7"/>
      <c r="Q863" s="7"/>
      <c r="R863" s="7"/>
      <c r="S863" s="7"/>
    </row>
    <row r="864" ht="14.25" customHeight="1">
      <c r="E864" s="7"/>
      <c r="F864" s="7"/>
      <c r="G864" s="7"/>
      <c r="J864" s="7"/>
      <c r="K864" s="7"/>
      <c r="L864" s="7"/>
      <c r="O864" s="7"/>
      <c r="P864" s="7"/>
      <c r="Q864" s="7"/>
      <c r="R864" s="7"/>
      <c r="S864" s="7"/>
    </row>
    <row r="865" ht="14.25" customHeight="1">
      <c r="E865" s="7"/>
      <c r="F865" s="7"/>
      <c r="G865" s="7"/>
      <c r="J865" s="7"/>
      <c r="K865" s="7"/>
      <c r="L865" s="7"/>
      <c r="O865" s="7"/>
      <c r="P865" s="7"/>
      <c r="Q865" s="7"/>
      <c r="R865" s="7"/>
      <c r="S865" s="7"/>
    </row>
    <row r="866" ht="14.25" customHeight="1">
      <c r="E866" s="7"/>
      <c r="F866" s="7"/>
      <c r="G866" s="7"/>
      <c r="J866" s="7"/>
      <c r="K866" s="7"/>
      <c r="L866" s="7"/>
      <c r="O866" s="7"/>
      <c r="P866" s="7"/>
      <c r="Q866" s="7"/>
      <c r="R866" s="7"/>
      <c r="S866" s="7"/>
    </row>
    <row r="867" ht="14.25" customHeight="1">
      <c r="E867" s="7"/>
      <c r="F867" s="7"/>
      <c r="G867" s="7"/>
      <c r="J867" s="7"/>
      <c r="K867" s="7"/>
      <c r="L867" s="7"/>
      <c r="O867" s="7"/>
      <c r="P867" s="7"/>
      <c r="Q867" s="7"/>
      <c r="R867" s="7"/>
      <c r="S867" s="7"/>
    </row>
    <row r="868" ht="14.25" customHeight="1">
      <c r="E868" s="7"/>
      <c r="F868" s="7"/>
      <c r="G868" s="7"/>
      <c r="J868" s="7"/>
      <c r="K868" s="7"/>
      <c r="L868" s="7"/>
      <c r="O868" s="7"/>
      <c r="P868" s="7"/>
      <c r="Q868" s="7"/>
      <c r="R868" s="7"/>
      <c r="S868" s="7"/>
    </row>
    <row r="869" ht="14.25" customHeight="1">
      <c r="E869" s="7"/>
      <c r="F869" s="7"/>
      <c r="G869" s="7"/>
      <c r="J869" s="7"/>
      <c r="K869" s="7"/>
      <c r="L869" s="7"/>
      <c r="O869" s="7"/>
      <c r="P869" s="7"/>
      <c r="Q869" s="7"/>
      <c r="R869" s="7"/>
      <c r="S869" s="7"/>
    </row>
    <row r="870" ht="14.25" customHeight="1">
      <c r="E870" s="7"/>
      <c r="F870" s="7"/>
      <c r="G870" s="7"/>
      <c r="J870" s="7"/>
      <c r="K870" s="7"/>
      <c r="L870" s="7"/>
      <c r="O870" s="7"/>
      <c r="P870" s="7"/>
      <c r="Q870" s="7"/>
      <c r="R870" s="7"/>
      <c r="S870" s="7"/>
    </row>
    <row r="871" ht="14.25" customHeight="1">
      <c r="E871" s="7"/>
      <c r="F871" s="7"/>
      <c r="G871" s="7"/>
      <c r="J871" s="7"/>
      <c r="K871" s="7"/>
      <c r="L871" s="7"/>
      <c r="O871" s="7"/>
      <c r="P871" s="7"/>
      <c r="Q871" s="7"/>
      <c r="R871" s="7"/>
      <c r="S871" s="7"/>
    </row>
    <row r="872" ht="14.25" customHeight="1">
      <c r="E872" s="7"/>
      <c r="F872" s="7"/>
      <c r="G872" s="7"/>
      <c r="J872" s="7"/>
      <c r="K872" s="7"/>
      <c r="L872" s="7"/>
      <c r="O872" s="7"/>
      <c r="P872" s="7"/>
      <c r="Q872" s="7"/>
      <c r="R872" s="7"/>
      <c r="S872" s="7"/>
    </row>
    <row r="873" ht="14.25" customHeight="1">
      <c r="E873" s="7"/>
      <c r="F873" s="7"/>
      <c r="G873" s="7"/>
      <c r="J873" s="7"/>
      <c r="K873" s="7"/>
      <c r="L873" s="7"/>
      <c r="O873" s="7"/>
      <c r="P873" s="7"/>
      <c r="Q873" s="7"/>
      <c r="R873" s="7"/>
      <c r="S873" s="7"/>
    </row>
    <row r="874" ht="14.25" customHeight="1">
      <c r="E874" s="7"/>
      <c r="F874" s="7"/>
      <c r="G874" s="7"/>
      <c r="J874" s="7"/>
      <c r="K874" s="7"/>
      <c r="L874" s="7"/>
      <c r="O874" s="7"/>
      <c r="P874" s="7"/>
      <c r="Q874" s="7"/>
      <c r="R874" s="7"/>
      <c r="S874" s="7"/>
    </row>
    <row r="875" ht="14.25" customHeight="1">
      <c r="E875" s="7"/>
      <c r="F875" s="7"/>
      <c r="G875" s="7"/>
      <c r="J875" s="7"/>
      <c r="K875" s="7"/>
      <c r="L875" s="7"/>
      <c r="O875" s="7"/>
      <c r="P875" s="7"/>
      <c r="Q875" s="7"/>
      <c r="R875" s="7"/>
      <c r="S875" s="7"/>
    </row>
    <row r="876" ht="14.25" customHeight="1">
      <c r="E876" s="7"/>
      <c r="F876" s="7"/>
      <c r="G876" s="7"/>
      <c r="J876" s="7"/>
      <c r="K876" s="7"/>
      <c r="L876" s="7"/>
      <c r="O876" s="7"/>
      <c r="P876" s="7"/>
      <c r="Q876" s="7"/>
      <c r="R876" s="7"/>
      <c r="S876" s="7"/>
    </row>
    <row r="877" ht="14.25" customHeight="1">
      <c r="E877" s="7"/>
      <c r="F877" s="7"/>
      <c r="G877" s="7"/>
      <c r="J877" s="7"/>
      <c r="K877" s="7"/>
      <c r="L877" s="7"/>
      <c r="O877" s="7"/>
      <c r="P877" s="7"/>
      <c r="Q877" s="7"/>
      <c r="R877" s="7"/>
      <c r="S877" s="7"/>
    </row>
    <row r="878" ht="14.25" customHeight="1">
      <c r="E878" s="7"/>
      <c r="F878" s="7"/>
      <c r="G878" s="7"/>
      <c r="J878" s="7"/>
      <c r="K878" s="7"/>
      <c r="L878" s="7"/>
      <c r="O878" s="7"/>
      <c r="P878" s="7"/>
      <c r="Q878" s="7"/>
      <c r="R878" s="7"/>
      <c r="S878" s="7"/>
    </row>
    <row r="879" ht="14.25" customHeight="1">
      <c r="E879" s="7"/>
      <c r="F879" s="7"/>
      <c r="G879" s="7"/>
      <c r="J879" s="7"/>
      <c r="K879" s="7"/>
      <c r="L879" s="7"/>
      <c r="O879" s="7"/>
      <c r="P879" s="7"/>
      <c r="Q879" s="7"/>
      <c r="R879" s="7"/>
      <c r="S879" s="7"/>
    </row>
    <row r="880" ht="14.25" customHeight="1">
      <c r="E880" s="7"/>
      <c r="F880" s="7"/>
      <c r="G880" s="7"/>
      <c r="J880" s="7"/>
      <c r="K880" s="7"/>
      <c r="L880" s="7"/>
      <c r="O880" s="7"/>
      <c r="P880" s="7"/>
      <c r="Q880" s="7"/>
      <c r="R880" s="7"/>
      <c r="S880" s="7"/>
    </row>
    <row r="881" ht="14.25" customHeight="1">
      <c r="E881" s="7"/>
      <c r="F881" s="7"/>
      <c r="G881" s="7"/>
      <c r="J881" s="7"/>
      <c r="K881" s="7"/>
      <c r="L881" s="7"/>
      <c r="O881" s="7"/>
      <c r="P881" s="7"/>
      <c r="Q881" s="7"/>
      <c r="R881" s="7"/>
      <c r="S881" s="7"/>
    </row>
    <row r="882" ht="14.25" customHeight="1">
      <c r="E882" s="7"/>
      <c r="F882" s="7"/>
      <c r="G882" s="7"/>
      <c r="J882" s="7"/>
      <c r="K882" s="7"/>
      <c r="L882" s="7"/>
      <c r="O882" s="7"/>
      <c r="P882" s="7"/>
      <c r="Q882" s="7"/>
      <c r="R882" s="7"/>
      <c r="S882" s="7"/>
    </row>
    <row r="883" ht="14.25" customHeight="1">
      <c r="E883" s="7"/>
      <c r="F883" s="7"/>
      <c r="G883" s="7"/>
      <c r="J883" s="7"/>
      <c r="K883" s="7"/>
      <c r="L883" s="7"/>
      <c r="O883" s="7"/>
      <c r="P883" s="7"/>
      <c r="Q883" s="7"/>
      <c r="R883" s="7"/>
      <c r="S883" s="7"/>
    </row>
    <row r="884" ht="14.25" customHeight="1">
      <c r="E884" s="7"/>
      <c r="F884" s="7"/>
      <c r="G884" s="7"/>
      <c r="J884" s="7"/>
      <c r="K884" s="7"/>
      <c r="L884" s="7"/>
      <c r="O884" s="7"/>
      <c r="P884" s="7"/>
      <c r="Q884" s="7"/>
      <c r="R884" s="7"/>
      <c r="S884" s="7"/>
    </row>
    <row r="885" ht="14.25" customHeight="1">
      <c r="E885" s="7"/>
      <c r="F885" s="7"/>
      <c r="G885" s="7"/>
      <c r="J885" s="7"/>
      <c r="K885" s="7"/>
      <c r="L885" s="7"/>
      <c r="O885" s="7"/>
      <c r="P885" s="7"/>
      <c r="Q885" s="7"/>
      <c r="R885" s="7"/>
      <c r="S885" s="7"/>
    </row>
    <row r="886" ht="14.25" customHeight="1">
      <c r="E886" s="7"/>
      <c r="F886" s="7"/>
      <c r="G886" s="7"/>
      <c r="J886" s="7"/>
      <c r="K886" s="7"/>
      <c r="L886" s="7"/>
      <c r="O886" s="7"/>
      <c r="P886" s="7"/>
      <c r="Q886" s="7"/>
      <c r="R886" s="7"/>
      <c r="S886" s="7"/>
    </row>
    <row r="887" ht="14.25" customHeight="1">
      <c r="E887" s="7"/>
      <c r="F887" s="7"/>
      <c r="G887" s="7"/>
      <c r="J887" s="7"/>
      <c r="K887" s="7"/>
      <c r="L887" s="7"/>
      <c r="O887" s="7"/>
      <c r="P887" s="7"/>
      <c r="Q887" s="7"/>
      <c r="R887" s="7"/>
      <c r="S887" s="7"/>
    </row>
    <row r="888" ht="14.25" customHeight="1">
      <c r="E888" s="7"/>
      <c r="F888" s="7"/>
      <c r="G888" s="7"/>
      <c r="J888" s="7"/>
      <c r="K888" s="7"/>
      <c r="L888" s="7"/>
      <c r="O888" s="7"/>
      <c r="P888" s="7"/>
      <c r="Q888" s="7"/>
      <c r="R888" s="7"/>
      <c r="S888" s="7"/>
    </row>
    <row r="889" ht="14.25" customHeight="1">
      <c r="E889" s="7"/>
      <c r="F889" s="7"/>
      <c r="G889" s="7"/>
      <c r="J889" s="7"/>
      <c r="K889" s="7"/>
      <c r="L889" s="7"/>
      <c r="O889" s="7"/>
      <c r="P889" s="7"/>
      <c r="Q889" s="7"/>
      <c r="R889" s="7"/>
      <c r="S889" s="7"/>
    </row>
    <row r="890" ht="14.25" customHeight="1">
      <c r="E890" s="7"/>
      <c r="F890" s="7"/>
      <c r="G890" s="7"/>
      <c r="J890" s="7"/>
      <c r="K890" s="7"/>
      <c r="L890" s="7"/>
      <c r="O890" s="7"/>
      <c r="P890" s="7"/>
      <c r="Q890" s="7"/>
      <c r="R890" s="7"/>
      <c r="S890" s="7"/>
    </row>
    <row r="891" ht="14.25" customHeight="1">
      <c r="E891" s="7"/>
      <c r="F891" s="7"/>
      <c r="G891" s="7"/>
      <c r="J891" s="7"/>
      <c r="K891" s="7"/>
      <c r="L891" s="7"/>
      <c r="O891" s="7"/>
      <c r="P891" s="7"/>
      <c r="Q891" s="7"/>
      <c r="R891" s="7"/>
      <c r="S891" s="7"/>
    </row>
    <row r="892" ht="14.25" customHeight="1">
      <c r="E892" s="7"/>
      <c r="F892" s="7"/>
      <c r="G892" s="7"/>
      <c r="J892" s="7"/>
      <c r="K892" s="7"/>
      <c r="L892" s="7"/>
      <c r="O892" s="7"/>
      <c r="P892" s="7"/>
      <c r="Q892" s="7"/>
      <c r="R892" s="7"/>
      <c r="S892" s="7"/>
    </row>
    <row r="893" ht="14.25" customHeight="1">
      <c r="E893" s="7"/>
      <c r="F893" s="7"/>
      <c r="G893" s="7"/>
      <c r="J893" s="7"/>
      <c r="K893" s="7"/>
      <c r="L893" s="7"/>
      <c r="O893" s="7"/>
      <c r="P893" s="7"/>
      <c r="Q893" s="7"/>
      <c r="R893" s="7"/>
      <c r="S893" s="7"/>
    </row>
    <row r="894" ht="14.25" customHeight="1">
      <c r="E894" s="7"/>
      <c r="F894" s="7"/>
      <c r="G894" s="7"/>
      <c r="J894" s="7"/>
      <c r="K894" s="7"/>
      <c r="L894" s="7"/>
      <c r="O894" s="7"/>
      <c r="P894" s="7"/>
      <c r="Q894" s="7"/>
      <c r="R894" s="7"/>
      <c r="S894" s="7"/>
    </row>
    <row r="895" ht="14.25" customHeight="1">
      <c r="E895" s="7"/>
      <c r="F895" s="7"/>
      <c r="G895" s="7"/>
      <c r="J895" s="7"/>
      <c r="K895" s="7"/>
      <c r="L895" s="7"/>
      <c r="O895" s="7"/>
      <c r="P895" s="7"/>
      <c r="Q895" s="7"/>
      <c r="R895" s="7"/>
      <c r="S895" s="7"/>
    </row>
    <row r="896" ht="14.25" customHeight="1">
      <c r="E896" s="7"/>
      <c r="F896" s="7"/>
      <c r="G896" s="7"/>
      <c r="J896" s="7"/>
      <c r="K896" s="7"/>
      <c r="L896" s="7"/>
      <c r="O896" s="7"/>
      <c r="P896" s="7"/>
      <c r="Q896" s="7"/>
      <c r="R896" s="7"/>
      <c r="S896" s="7"/>
    </row>
    <row r="897" ht="14.25" customHeight="1">
      <c r="E897" s="7"/>
      <c r="F897" s="7"/>
      <c r="G897" s="7"/>
      <c r="J897" s="7"/>
      <c r="K897" s="7"/>
      <c r="L897" s="7"/>
      <c r="O897" s="7"/>
      <c r="P897" s="7"/>
      <c r="Q897" s="7"/>
      <c r="R897" s="7"/>
      <c r="S897" s="7"/>
    </row>
    <row r="898" ht="14.25" customHeight="1">
      <c r="E898" s="7"/>
      <c r="F898" s="7"/>
      <c r="G898" s="7"/>
      <c r="J898" s="7"/>
      <c r="K898" s="7"/>
      <c r="L898" s="7"/>
      <c r="O898" s="7"/>
      <c r="P898" s="7"/>
      <c r="Q898" s="7"/>
      <c r="R898" s="7"/>
      <c r="S898" s="7"/>
    </row>
    <row r="899" ht="14.25" customHeight="1">
      <c r="E899" s="7"/>
      <c r="F899" s="7"/>
      <c r="G899" s="7"/>
      <c r="J899" s="7"/>
      <c r="K899" s="7"/>
      <c r="L899" s="7"/>
      <c r="O899" s="7"/>
      <c r="P899" s="7"/>
      <c r="Q899" s="7"/>
      <c r="R899" s="7"/>
      <c r="S899" s="7"/>
    </row>
    <row r="900" ht="14.25" customHeight="1">
      <c r="E900" s="7"/>
      <c r="F900" s="7"/>
      <c r="G900" s="7"/>
      <c r="J900" s="7"/>
      <c r="K900" s="7"/>
      <c r="L900" s="7"/>
      <c r="O900" s="7"/>
      <c r="P900" s="7"/>
      <c r="Q900" s="7"/>
      <c r="R900" s="7"/>
      <c r="S900" s="7"/>
    </row>
    <row r="901" ht="14.25" customHeight="1">
      <c r="E901" s="7"/>
      <c r="F901" s="7"/>
      <c r="G901" s="7"/>
      <c r="J901" s="7"/>
      <c r="K901" s="7"/>
      <c r="L901" s="7"/>
      <c r="O901" s="7"/>
      <c r="P901" s="7"/>
      <c r="Q901" s="7"/>
      <c r="R901" s="7"/>
      <c r="S901" s="7"/>
    </row>
    <row r="902" ht="14.25" customHeight="1">
      <c r="E902" s="7"/>
      <c r="F902" s="7"/>
      <c r="G902" s="7"/>
      <c r="J902" s="7"/>
      <c r="K902" s="7"/>
      <c r="L902" s="7"/>
      <c r="O902" s="7"/>
      <c r="P902" s="7"/>
      <c r="Q902" s="7"/>
      <c r="R902" s="7"/>
      <c r="S902" s="7"/>
    </row>
    <row r="903" ht="14.25" customHeight="1">
      <c r="E903" s="7"/>
      <c r="F903" s="7"/>
      <c r="G903" s="7"/>
      <c r="J903" s="7"/>
      <c r="K903" s="7"/>
      <c r="L903" s="7"/>
      <c r="O903" s="7"/>
      <c r="P903" s="7"/>
      <c r="Q903" s="7"/>
      <c r="R903" s="7"/>
      <c r="S903" s="7"/>
    </row>
    <row r="904" ht="14.25" customHeight="1">
      <c r="E904" s="7"/>
      <c r="F904" s="7"/>
      <c r="G904" s="7"/>
      <c r="J904" s="7"/>
      <c r="K904" s="7"/>
      <c r="L904" s="7"/>
      <c r="O904" s="7"/>
      <c r="P904" s="7"/>
      <c r="Q904" s="7"/>
      <c r="R904" s="7"/>
      <c r="S904" s="7"/>
    </row>
    <row r="905" ht="14.25" customHeight="1">
      <c r="E905" s="7"/>
      <c r="F905" s="7"/>
      <c r="G905" s="7"/>
      <c r="J905" s="7"/>
      <c r="K905" s="7"/>
      <c r="L905" s="7"/>
      <c r="O905" s="7"/>
      <c r="P905" s="7"/>
      <c r="Q905" s="7"/>
      <c r="R905" s="7"/>
      <c r="S905" s="7"/>
    </row>
    <row r="906" ht="14.25" customHeight="1">
      <c r="E906" s="7"/>
      <c r="F906" s="7"/>
      <c r="G906" s="7"/>
      <c r="J906" s="7"/>
      <c r="K906" s="7"/>
      <c r="L906" s="7"/>
      <c r="O906" s="7"/>
      <c r="P906" s="7"/>
      <c r="Q906" s="7"/>
      <c r="R906" s="7"/>
      <c r="S906" s="7"/>
    </row>
    <row r="907" ht="14.25" customHeight="1">
      <c r="E907" s="7"/>
      <c r="F907" s="7"/>
      <c r="G907" s="7"/>
      <c r="J907" s="7"/>
      <c r="K907" s="7"/>
      <c r="L907" s="7"/>
      <c r="O907" s="7"/>
      <c r="P907" s="7"/>
      <c r="Q907" s="7"/>
      <c r="R907" s="7"/>
      <c r="S907" s="7"/>
    </row>
    <row r="908" ht="14.25" customHeight="1">
      <c r="E908" s="7"/>
      <c r="F908" s="7"/>
      <c r="G908" s="7"/>
      <c r="J908" s="7"/>
      <c r="K908" s="7"/>
      <c r="L908" s="7"/>
      <c r="O908" s="7"/>
      <c r="P908" s="7"/>
      <c r="Q908" s="7"/>
      <c r="R908" s="7"/>
      <c r="S908" s="7"/>
    </row>
    <row r="909" ht="14.25" customHeight="1">
      <c r="E909" s="7"/>
      <c r="F909" s="7"/>
      <c r="G909" s="7"/>
      <c r="J909" s="7"/>
      <c r="K909" s="7"/>
      <c r="L909" s="7"/>
      <c r="O909" s="7"/>
      <c r="P909" s="7"/>
      <c r="Q909" s="7"/>
      <c r="R909" s="7"/>
      <c r="S909" s="7"/>
    </row>
    <row r="910" ht="14.25" customHeight="1">
      <c r="E910" s="7"/>
      <c r="F910" s="7"/>
      <c r="G910" s="7"/>
      <c r="J910" s="7"/>
      <c r="K910" s="7"/>
      <c r="L910" s="7"/>
      <c r="O910" s="7"/>
      <c r="P910" s="7"/>
      <c r="Q910" s="7"/>
      <c r="R910" s="7"/>
      <c r="S910" s="7"/>
    </row>
    <row r="911" ht="14.25" customHeight="1">
      <c r="E911" s="7"/>
      <c r="F911" s="7"/>
      <c r="G911" s="7"/>
      <c r="J911" s="7"/>
      <c r="K911" s="7"/>
      <c r="L911" s="7"/>
      <c r="O911" s="7"/>
      <c r="P911" s="7"/>
      <c r="Q911" s="7"/>
      <c r="R911" s="7"/>
      <c r="S911" s="7"/>
    </row>
    <row r="912" ht="14.25" customHeight="1">
      <c r="E912" s="7"/>
      <c r="F912" s="7"/>
      <c r="G912" s="7"/>
      <c r="J912" s="7"/>
      <c r="K912" s="7"/>
      <c r="L912" s="7"/>
      <c r="O912" s="7"/>
      <c r="P912" s="7"/>
      <c r="Q912" s="7"/>
      <c r="R912" s="7"/>
      <c r="S912" s="7"/>
    </row>
    <row r="913" ht="14.25" customHeight="1">
      <c r="E913" s="7"/>
      <c r="F913" s="7"/>
      <c r="G913" s="7"/>
      <c r="J913" s="7"/>
      <c r="K913" s="7"/>
      <c r="L913" s="7"/>
      <c r="O913" s="7"/>
      <c r="P913" s="7"/>
      <c r="Q913" s="7"/>
      <c r="R913" s="7"/>
      <c r="S913" s="7"/>
    </row>
    <row r="914" ht="14.25" customHeight="1">
      <c r="E914" s="7"/>
      <c r="F914" s="7"/>
      <c r="G914" s="7"/>
      <c r="J914" s="7"/>
      <c r="K914" s="7"/>
      <c r="L914" s="7"/>
      <c r="O914" s="7"/>
      <c r="P914" s="7"/>
      <c r="Q914" s="7"/>
      <c r="R914" s="7"/>
      <c r="S914" s="7"/>
    </row>
    <row r="915" ht="14.25" customHeight="1">
      <c r="E915" s="7"/>
      <c r="F915" s="7"/>
      <c r="G915" s="7"/>
      <c r="J915" s="7"/>
      <c r="K915" s="7"/>
      <c r="L915" s="7"/>
      <c r="O915" s="7"/>
      <c r="P915" s="7"/>
      <c r="Q915" s="7"/>
      <c r="R915" s="7"/>
      <c r="S915" s="7"/>
    </row>
    <row r="916" ht="14.25" customHeight="1">
      <c r="E916" s="7"/>
      <c r="F916" s="7"/>
      <c r="G916" s="7"/>
      <c r="J916" s="7"/>
      <c r="K916" s="7"/>
      <c r="L916" s="7"/>
      <c r="O916" s="7"/>
      <c r="P916" s="7"/>
      <c r="Q916" s="7"/>
      <c r="R916" s="7"/>
      <c r="S916" s="7"/>
    </row>
    <row r="917" ht="14.25" customHeight="1">
      <c r="E917" s="7"/>
      <c r="F917" s="7"/>
      <c r="G917" s="7"/>
      <c r="J917" s="7"/>
      <c r="K917" s="7"/>
      <c r="L917" s="7"/>
      <c r="O917" s="7"/>
      <c r="P917" s="7"/>
      <c r="Q917" s="7"/>
      <c r="R917" s="7"/>
      <c r="S917" s="7"/>
    </row>
    <row r="918" ht="14.25" customHeight="1">
      <c r="E918" s="7"/>
      <c r="F918" s="7"/>
      <c r="G918" s="7"/>
      <c r="J918" s="7"/>
      <c r="K918" s="7"/>
      <c r="L918" s="7"/>
      <c r="O918" s="7"/>
      <c r="P918" s="7"/>
      <c r="Q918" s="7"/>
      <c r="R918" s="7"/>
      <c r="S918" s="7"/>
    </row>
    <row r="919" ht="14.25" customHeight="1">
      <c r="E919" s="7"/>
      <c r="F919" s="7"/>
      <c r="G919" s="7"/>
      <c r="J919" s="7"/>
      <c r="K919" s="7"/>
      <c r="L919" s="7"/>
      <c r="O919" s="7"/>
      <c r="P919" s="7"/>
      <c r="Q919" s="7"/>
      <c r="R919" s="7"/>
      <c r="S919" s="7"/>
    </row>
    <row r="920" ht="14.25" customHeight="1">
      <c r="E920" s="7"/>
      <c r="F920" s="7"/>
      <c r="G920" s="7"/>
      <c r="J920" s="7"/>
      <c r="K920" s="7"/>
      <c r="L920" s="7"/>
      <c r="O920" s="7"/>
      <c r="P920" s="7"/>
      <c r="Q920" s="7"/>
      <c r="R920" s="7"/>
      <c r="S920" s="7"/>
    </row>
    <row r="921" ht="14.25" customHeight="1">
      <c r="E921" s="7"/>
      <c r="F921" s="7"/>
      <c r="G921" s="7"/>
      <c r="J921" s="7"/>
      <c r="K921" s="7"/>
      <c r="L921" s="7"/>
      <c r="O921" s="7"/>
      <c r="P921" s="7"/>
      <c r="Q921" s="7"/>
      <c r="R921" s="7"/>
      <c r="S921" s="7"/>
    </row>
    <row r="922" ht="14.25" customHeight="1">
      <c r="E922" s="7"/>
      <c r="F922" s="7"/>
      <c r="G922" s="7"/>
      <c r="J922" s="7"/>
      <c r="K922" s="7"/>
      <c r="L922" s="7"/>
      <c r="O922" s="7"/>
      <c r="P922" s="7"/>
      <c r="Q922" s="7"/>
      <c r="R922" s="7"/>
      <c r="S922" s="7"/>
    </row>
    <row r="923" ht="14.25" customHeight="1">
      <c r="E923" s="7"/>
      <c r="F923" s="7"/>
      <c r="G923" s="7"/>
      <c r="J923" s="7"/>
      <c r="K923" s="7"/>
      <c r="L923" s="7"/>
      <c r="O923" s="7"/>
      <c r="P923" s="7"/>
      <c r="Q923" s="7"/>
      <c r="R923" s="7"/>
      <c r="S923" s="7"/>
    </row>
    <row r="924" ht="14.25" customHeight="1">
      <c r="E924" s="7"/>
      <c r="F924" s="7"/>
      <c r="G924" s="7"/>
      <c r="J924" s="7"/>
      <c r="K924" s="7"/>
      <c r="L924" s="7"/>
      <c r="O924" s="7"/>
      <c r="P924" s="7"/>
      <c r="Q924" s="7"/>
      <c r="R924" s="7"/>
      <c r="S924" s="7"/>
    </row>
    <row r="925" ht="14.25" customHeight="1">
      <c r="E925" s="7"/>
      <c r="F925" s="7"/>
      <c r="G925" s="7"/>
      <c r="J925" s="7"/>
      <c r="K925" s="7"/>
      <c r="L925" s="7"/>
      <c r="O925" s="7"/>
      <c r="P925" s="7"/>
      <c r="Q925" s="7"/>
      <c r="R925" s="7"/>
      <c r="S925" s="7"/>
    </row>
    <row r="926" ht="14.25" customHeight="1">
      <c r="E926" s="7"/>
      <c r="F926" s="7"/>
      <c r="G926" s="7"/>
      <c r="J926" s="7"/>
      <c r="K926" s="7"/>
      <c r="L926" s="7"/>
      <c r="O926" s="7"/>
      <c r="P926" s="7"/>
      <c r="Q926" s="7"/>
      <c r="R926" s="7"/>
      <c r="S926" s="7"/>
    </row>
    <row r="927" ht="14.25" customHeight="1">
      <c r="E927" s="7"/>
      <c r="F927" s="7"/>
      <c r="G927" s="7"/>
      <c r="J927" s="7"/>
      <c r="K927" s="7"/>
      <c r="L927" s="7"/>
      <c r="O927" s="7"/>
      <c r="P927" s="7"/>
      <c r="Q927" s="7"/>
      <c r="R927" s="7"/>
      <c r="S927" s="7"/>
    </row>
    <row r="928" ht="14.25" customHeight="1">
      <c r="E928" s="7"/>
      <c r="F928" s="7"/>
      <c r="G928" s="7"/>
      <c r="J928" s="7"/>
      <c r="K928" s="7"/>
      <c r="L928" s="7"/>
      <c r="O928" s="7"/>
      <c r="P928" s="7"/>
      <c r="Q928" s="7"/>
      <c r="R928" s="7"/>
      <c r="S928" s="7"/>
    </row>
    <row r="929" ht="14.25" customHeight="1">
      <c r="E929" s="7"/>
      <c r="F929" s="7"/>
      <c r="G929" s="7"/>
      <c r="J929" s="7"/>
      <c r="K929" s="7"/>
      <c r="L929" s="7"/>
      <c r="O929" s="7"/>
      <c r="P929" s="7"/>
      <c r="Q929" s="7"/>
      <c r="R929" s="7"/>
      <c r="S929" s="7"/>
    </row>
    <row r="930" ht="14.25" customHeight="1">
      <c r="E930" s="7"/>
      <c r="F930" s="7"/>
      <c r="G930" s="7"/>
      <c r="J930" s="7"/>
      <c r="K930" s="7"/>
      <c r="L930" s="7"/>
      <c r="O930" s="7"/>
      <c r="P930" s="7"/>
      <c r="Q930" s="7"/>
      <c r="R930" s="7"/>
      <c r="S930" s="7"/>
    </row>
    <row r="931" ht="14.25" customHeight="1">
      <c r="E931" s="7"/>
      <c r="F931" s="7"/>
      <c r="G931" s="7"/>
      <c r="J931" s="7"/>
      <c r="K931" s="7"/>
      <c r="L931" s="7"/>
      <c r="O931" s="7"/>
      <c r="P931" s="7"/>
      <c r="Q931" s="7"/>
      <c r="R931" s="7"/>
      <c r="S931" s="7"/>
    </row>
    <row r="932" ht="14.25" customHeight="1">
      <c r="E932" s="7"/>
      <c r="F932" s="7"/>
      <c r="G932" s="7"/>
      <c r="J932" s="7"/>
      <c r="K932" s="7"/>
      <c r="L932" s="7"/>
      <c r="O932" s="7"/>
      <c r="P932" s="7"/>
      <c r="Q932" s="7"/>
      <c r="R932" s="7"/>
      <c r="S932" s="7"/>
    </row>
    <row r="933" ht="14.25" customHeight="1">
      <c r="E933" s="7"/>
      <c r="F933" s="7"/>
      <c r="G933" s="7"/>
      <c r="J933" s="7"/>
      <c r="K933" s="7"/>
      <c r="L933" s="7"/>
      <c r="O933" s="7"/>
      <c r="P933" s="7"/>
      <c r="Q933" s="7"/>
      <c r="R933" s="7"/>
      <c r="S933" s="7"/>
    </row>
    <row r="934" ht="14.25" customHeight="1">
      <c r="E934" s="7"/>
      <c r="F934" s="7"/>
      <c r="G934" s="7"/>
      <c r="J934" s="7"/>
      <c r="K934" s="7"/>
      <c r="L934" s="7"/>
      <c r="O934" s="7"/>
      <c r="P934" s="7"/>
      <c r="Q934" s="7"/>
      <c r="R934" s="7"/>
      <c r="S934" s="7"/>
    </row>
    <row r="935" ht="14.25" customHeight="1">
      <c r="E935" s="7"/>
      <c r="F935" s="7"/>
      <c r="G935" s="7"/>
      <c r="J935" s="7"/>
      <c r="K935" s="7"/>
      <c r="L935" s="7"/>
      <c r="O935" s="7"/>
      <c r="P935" s="7"/>
      <c r="Q935" s="7"/>
      <c r="R935" s="7"/>
      <c r="S935" s="7"/>
    </row>
    <row r="936" ht="14.25" customHeight="1">
      <c r="E936" s="7"/>
      <c r="F936" s="7"/>
      <c r="G936" s="7"/>
      <c r="J936" s="7"/>
      <c r="K936" s="7"/>
      <c r="L936" s="7"/>
      <c r="O936" s="7"/>
      <c r="P936" s="7"/>
      <c r="Q936" s="7"/>
      <c r="R936" s="7"/>
      <c r="S936" s="7"/>
    </row>
    <row r="937" ht="14.25" customHeight="1">
      <c r="E937" s="7"/>
      <c r="F937" s="7"/>
      <c r="G937" s="7"/>
      <c r="J937" s="7"/>
      <c r="K937" s="7"/>
      <c r="L937" s="7"/>
      <c r="O937" s="7"/>
      <c r="P937" s="7"/>
      <c r="Q937" s="7"/>
      <c r="R937" s="7"/>
      <c r="S937" s="7"/>
    </row>
    <row r="938" ht="14.25" customHeight="1">
      <c r="E938" s="7"/>
      <c r="F938" s="7"/>
      <c r="G938" s="7"/>
      <c r="J938" s="7"/>
      <c r="K938" s="7"/>
      <c r="L938" s="7"/>
      <c r="O938" s="7"/>
      <c r="P938" s="7"/>
      <c r="Q938" s="7"/>
      <c r="R938" s="7"/>
      <c r="S938" s="7"/>
    </row>
    <row r="939" ht="14.25" customHeight="1">
      <c r="E939" s="7"/>
      <c r="F939" s="7"/>
      <c r="G939" s="7"/>
      <c r="J939" s="7"/>
      <c r="K939" s="7"/>
      <c r="L939" s="7"/>
      <c r="O939" s="7"/>
      <c r="P939" s="7"/>
      <c r="Q939" s="7"/>
      <c r="R939" s="7"/>
      <c r="S939" s="7"/>
    </row>
    <row r="940" ht="14.25" customHeight="1">
      <c r="E940" s="7"/>
      <c r="F940" s="7"/>
      <c r="G940" s="7"/>
      <c r="J940" s="7"/>
      <c r="K940" s="7"/>
      <c r="L940" s="7"/>
      <c r="O940" s="7"/>
      <c r="P940" s="7"/>
      <c r="Q940" s="7"/>
      <c r="R940" s="7"/>
      <c r="S940" s="7"/>
    </row>
    <row r="941" ht="14.25" customHeight="1">
      <c r="E941" s="7"/>
      <c r="F941" s="7"/>
      <c r="G941" s="7"/>
      <c r="J941" s="7"/>
      <c r="K941" s="7"/>
      <c r="L941" s="7"/>
      <c r="O941" s="7"/>
      <c r="P941" s="7"/>
      <c r="Q941" s="7"/>
      <c r="R941" s="7"/>
      <c r="S941" s="7"/>
    </row>
    <row r="942" ht="14.25" customHeight="1">
      <c r="E942" s="7"/>
      <c r="F942" s="7"/>
      <c r="G942" s="7"/>
      <c r="J942" s="7"/>
      <c r="K942" s="7"/>
      <c r="L942" s="7"/>
      <c r="O942" s="7"/>
      <c r="P942" s="7"/>
      <c r="Q942" s="7"/>
      <c r="R942" s="7"/>
      <c r="S942" s="7"/>
    </row>
    <row r="943" ht="14.25" customHeight="1">
      <c r="E943" s="7"/>
      <c r="F943" s="7"/>
      <c r="G943" s="7"/>
      <c r="J943" s="7"/>
      <c r="K943" s="7"/>
      <c r="L943" s="7"/>
      <c r="O943" s="7"/>
      <c r="P943" s="7"/>
      <c r="Q943" s="7"/>
      <c r="R943" s="7"/>
      <c r="S943" s="7"/>
    </row>
    <row r="944" ht="14.25" customHeight="1">
      <c r="E944" s="7"/>
      <c r="F944" s="7"/>
      <c r="G944" s="7"/>
      <c r="J944" s="7"/>
      <c r="K944" s="7"/>
      <c r="L944" s="7"/>
      <c r="O944" s="7"/>
      <c r="P944" s="7"/>
      <c r="Q944" s="7"/>
      <c r="R944" s="7"/>
      <c r="S944" s="7"/>
    </row>
    <row r="945" ht="14.25" customHeight="1">
      <c r="E945" s="7"/>
      <c r="F945" s="7"/>
      <c r="G945" s="7"/>
      <c r="J945" s="7"/>
      <c r="K945" s="7"/>
      <c r="L945" s="7"/>
      <c r="O945" s="7"/>
      <c r="P945" s="7"/>
      <c r="Q945" s="7"/>
      <c r="R945" s="7"/>
      <c r="S945" s="7"/>
    </row>
    <row r="946" ht="14.25" customHeight="1">
      <c r="E946" s="7"/>
      <c r="F946" s="7"/>
      <c r="G946" s="7"/>
      <c r="J946" s="7"/>
      <c r="K946" s="7"/>
      <c r="L946" s="7"/>
      <c r="O946" s="7"/>
      <c r="P946" s="7"/>
      <c r="Q946" s="7"/>
      <c r="R946" s="7"/>
      <c r="S946" s="7"/>
    </row>
    <row r="947" ht="14.25" customHeight="1">
      <c r="E947" s="7"/>
      <c r="F947" s="7"/>
      <c r="G947" s="7"/>
      <c r="J947" s="7"/>
      <c r="K947" s="7"/>
      <c r="L947" s="7"/>
      <c r="O947" s="7"/>
      <c r="P947" s="7"/>
      <c r="Q947" s="7"/>
      <c r="R947" s="7"/>
      <c r="S947" s="7"/>
    </row>
    <row r="948" ht="14.25" customHeight="1">
      <c r="E948" s="7"/>
      <c r="F948" s="7"/>
      <c r="G948" s="7"/>
      <c r="J948" s="7"/>
      <c r="K948" s="7"/>
      <c r="L948" s="7"/>
      <c r="O948" s="7"/>
      <c r="P948" s="7"/>
      <c r="Q948" s="7"/>
      <c r="R948" s="7"/>
      <c r="S948" s="7"/>
    </row>
    <row r="949" ht="14.25" customHeight="1">
      <c r="E949" s="7"/>
      <c r="F949" s="7"/>
      <c r="G949" s="7"/>
      <c r="J949" s="7"/>
      <c r="K949" s="7"/>
      <c r="L949" s="7"/>
      <c r="O949" s="7"/>
      <c r="P949" s="7"/>
      <c r="Q949" s="7"/>
      <c r="R949" s="7"/>
      <c r="S949" s="7"/>
    </row>
    <row r="950" ht="14.25" customHeight="1">
      <c r="E950" s="7"/>
      <c r="F950" s="7"/>
      <c r="G950" s="7"/>
      <c r="J950" s="7"/>
      <c r="K950" s="7"/>
      <c r="L950" s="7"/>
      <c r="O950" s="7"/>
      <c r="P950" s="7"/>
      <c r="Q950" s="7"/>
      <c r="R950" s="7"/>
      <c r="S950" s="7"/>
    </row>
    <row r="951" ht="14.25" customHeight="1">
      <c r="E951" s="7"/>
      <c r="F951" s="7"/>
      <c r="G951" s="7"/>
      <c r="J951" s="7"/>
      <c r="K951" s="7"/>
      <c r="L951" s="7"/>
      <c r="O951" s="7"/>
      <c r="P951" s="7"/>
      <c r="Q951" s="7"/>
      <c r="R951" s="7"/>
      <c r="S951" s="7"/>
    </row>
    <row r="952" ht="14.25" customHeight="1">
      <c r="E952" s="7"/>
      <c r="F952" s="7"/>
      <c r="G952" s="7"/>
      <c r="J952" s="7"/>
      <c r="K952" s="7"/>
      <c r="L952" s="7"/>
      <c r="O952" s="7"/>
      <c r="P952" s="7"/>
      <c r="Q952" s="7"/>
      <c r="R952" s="7"/>
      <c r="S952" s="7"/>
    </row>
    <row r="953" ht="14.25" customHeight="1">
      <c r="E953" s="7"/>
      <c r="F953" s="7"/>
      <c r="G953" s="7"/>
      <c r="J953" s="7"/>
      <c r="K953" s="7"/>
      <c r="L953" s="7"/>
      <c r="O953" s="7"/>
      <c r="P953" s="7"/>
      <c r="Q953" s="7"/>
      <c r="R953" s="7"/>
      <c r="S953" s="7"/>
    </row>
    <row r="954" ht="14.25" customHeight="1">
      <c r="E954" s="7"/>
      <c r="F954" s="7"/>
      <c r="G954" s="7"/>
      <c r="J954" s="7"/>
      <c r="K954" s="7"/>
      <c r="L954" s="7"/>
      <c r="O954" s="7"/>
      <c r="P954" s="7"/>
      <c r="Q954" s="7"/>
      <c r="R954" s="7"/>
      <c r="S954" s="7"/>
    </row>
    <row r="955" ht="14.25" customHeight="1">
      <c r="E955" s="7"/>
      <c r="F955" s="7"/>
      <c r="G955" s="7"/>
      <c r="J955" s="7"/>
      <c r="K955" s="7"/>
      <c r="L955" s="7"/>
      <c r="O955" s="7"/>
      <c r="P955" s="7"/>
      <c r="Q955" s="7"/>
      <c r="R955" s="7"/>
      <c r="S955" s="7"/>
    </row>
    <row r="956" ht="14.25" customHeight="1">
      <c r="E956" s="7"/>
      <c r="F956" s="7"/>
      <c r="G956" s="7"/>
      <c r="J956" s="7"/>
      <c r="K956" s="7"/>
      <c r="L956" s="7"/>
      <c r="O956" s="7"/>
      <c r="P956" s="7"/>
      <c r="Q956" s="7"/>
      <c r="R956" s="7"/>
      <c r="S956" s="7"/>
    </row>
    <row r="957" ht="14.25" customHeight="1">
      <c r="E957" s="7"/>
      <c r="F957" s="7"/>
      <c r="G957" s="7"/>
      <c r="J957" s="7"/>
      <c r="K957" s="7"/>
      <c r="L957" s="7"/>
      <c r="O957" s="7"/>
      <c r="P957" s="7"/>
      <c r="Q957" s="7"/>
      <c r="R957" s="7"/>
      <c r="S957" s="7"/>
    </row>
    <row r="958" ht="14.25" customHeight="1">
      <c r="E958" s="7"/>
      <c r="F958" s="7"/>
      <c r="G958" s="7"/>
      <c r="J958" s="7"/>
      <c r="K958" s="7"/>
      <c r="L958" s="7"/>
      <c r="O958" s="7"/>
      <c r="P958" s="7"/>
      <c r="Q958" s="7"/>
      <c r="R958" s="7"/>
      <c r="S958" s="7"/>
    </row>
    <row r="959" ht="14.25" customHeight="1">
      <c r="E959" s="7"/>
      <c r="F959" s="7"/>
      <c r="G959" s="7"/>
      <c r="J959" s="7"/>
      <c r="K959" s="7"/>
      <c r="L959" s="7"/>
      <c r="O959" s="7"/>
      <c r="P959" s="7"/>
      <c r="Q959" s="7"/>
      <c r="R959" s="7"/>
      <c r="S959" s="7"/>
    </row>
    <row r="960" ht="14.25" customHeight="1">
      <c r="E960" s="7"/>
      <c r="F960" s="7"/>
      <c r="G960" s="7"/>
      <c r="J960" s="7"/>
      <c r="K960" s="7"/>
      <c r="L960" s="7"/>
      <c r="O960" s="7"/>
      <c r="P960" s="7"/>
      <c r="Q960" s="7"/>
      <c r="R960" s="7"/>
      <c r="S960" s="7"/>
    </row>
    <row r="961" ht="14.25" customHeight="1">
      <c r="E961" s="7"/>
      <c r="F961" s="7"/>
      <c r="G961" s="7"/>
      <c r="J961" s="7"/>
      <c r="K961" s="7"/>
      <c r="L961" s="7"/>
      <c r="O961" s="7"/>
      <c r="P961" s="7"/>
      <c r="Q961" s="7"/>
      <c r="R961" s="7"/>
      <c r="S961" s="7"/>
    </row>
    <row r="962" ht="14.25" customHeight="1">
      <c r="E962" s="7"/>
      <c r="F962" s="7"/>
      <c r="G962" s="7"/>
      <c r="J962" s="7"/>
      <c r="K962" s="7"/>
      <c r="L962" s="7"/>
      <c r="O962" s="7"/>
      <c r="P962" s="7"/>
      <c r="Q962" s="7"/>
      <c r="R962" s="7"/>
      <c r="S962" s="7"/>
    </row>
    <row r="963" ht="14.25" customHeight="1">
      <c r="E963" s="7"/>
      <c r="F963" s="7"/>
      <c r="G963" s="7"/>
      <c r="J963" s="7"/>
      <c r="K963" s="7"/>
      <c r="L963" s="7"/>
      <c r="O963" s="7"/>
      <c r="P963" s="7"/>
      <c r="Q963" s="7"/>
      <c r="R963" s="7"/>
      <c r="S963" s="7"/>
    </row>
    <row r="964" ht="14.25" customHeight="1">
      <c r="E964" s="7"/>
      <c r="F964" s="7"/>
      <c r="G964" s="7"/>
      <c r="J964" s="7"/>
      <c r="K964" s="7"/>
      <c r="L964" s="7"/>
      <c r="O964" s="7"/>
      <c r="P964" s="7"/>
      <c r="Q964" s="7"/>
      <c r="R964" s="7"/>
      <c r="S964" s="7"/>
    </row>
    <row r="965" ht="14.25" customHeight="1">
      <c r="E965" s="7"/>
      <c r="F965" s="7"/>
      <c r="G965" s="7"/>
      <c r="J965" s="7"/>
      <c r="K965" s="7"/>
      <c r="L965" s="7"/>
      <c r="O965" s="7"/>
      <c r="P965" s="7"/>
      <c r="Q965" s="7"/>
      <c r="R965" s="7"/>
      <c r="S965" s="7"/>
    </row>
    <row r="966" ht="14.25" customHeight="1">
      <c r="E966" s="7"/>
      <c r="F966" s="7"/>
      <c r="G966" s="7"/>
      <c r="J966" s="7"/>
      <c r="K966" s="7"/>
      <c r="L966" s="7"/>
      <c r="O966" s="7"/>
      <c r="P966" s="7"/>
      <c r="Q966" s="7"/>
      <c r="R966" s="7"/>
      <c r="S966" s="7"/>
    </row>
    <row r="967" ht="14.25" customHeight="1">
      <c r="E967" s="7"/>
      <c r="F967" s="7"/>
      <c r="G967" s="7"/>
      <c r="J967" s="7"/>
      <c r="K967" s="7"/>
      <c r="L967" s="7"/>
      <c r="O967" s="7"/>
      <c r="P967" s="7"/>
      <c r="Q967" s="7"/>
      <c r="R967" s="7"/>
      <c r="S967" s="7"/>
    </row>
    <row r="968" ht="14.25" customHeight="1">
      <c r="E968" s="7"/>
      <c r="F968" s="7"/>
      <c r="G968" s="7"/>
      <c r="J968" s="7"/>
      <c r="K968" s="7"/>
      <c r="L968" s="7"/>
      <c r="O968" s="7"/>
      <c r="P968" s="7"/>
      <c r="Q968" s="7"/>
      <c r="R968" s="7"/>
      <c r="S968" s="7"/>
    </row>
    <row r="969" ht="14.25" customHeight="1">
      <c r="E969" s="7"/>
      <c r="F969" s="7"/>
      <c r="G969" s="7"/>
      <c r="J969" s="7"/>
      <c r="K969" s="7"/>
      <c r="L969" s="7"/>
      <c r="O969" s="7"/>
      <c r="P969" s="7"/>
      <c r="Q969" s="7"/>
      <c r="R969" s="7"/>
      <c r="S969" s="7"/>
    </row>
    <row r="970" ht="14.25" customHeight="1">
      <c r="E970" s="7"/>
      <c r="F970" s="7"/>
      <c r="G970" s="7"/>
      <c r="J970" s="7"/>
      <c r="K970" s="7"/>
      <c r="L970" s="7"/>
      <c r="O970" s="7"/>
      <c r="P970" s="7"/>
      <c r="Q970" s="7"/>
      <c r="R970" s="7"/>
      <c r="S970" s="7"/>
    </row>
    <row r="971" ht="14.25" customHeight="1">
      <c r="E971" s="7"/>
      <c r="F971" s="7"/>
      <c r="G971" s="7"/>
      <c r="J971" s="7"/>
      <c r="K971" s="7"/>
      <c r="L971" s="7"/>
      <c r="O971" s="7"/>
      <c r="P971" s="7"/>
      <c r="Q971" s="7"/>
      <c r="R971" s="7"/>
      <c r="S971" s="7"/>
    </row>
    <row r="972" ht="14.25" customHeight="1">
      <c r="E972" s="7"/>
      <c r="F972" s="7"/>
      <c r="G972" s="7"/>
      <c r="J972" s="7"/>
      <c r="K972" s="7"/>
      <c r="L972" s="7"/>
      <c r="O972" s="7"/>
      <c r="P972" s="7"/>
      <c r="Q972" s="7"/>
      <c r="R972" s="7"/>
      <c r="S972" s="7"/>
    </row>
    <row r="973" ht="14.25" customHeight="1">
      <c r="E973" s="7"/>
      <c r="F973" s="7"/>
      <c r="G973" s="7"/>
      <c r="J973" s="7"/>
      <c r="K973" s="7"/>
      <c r="L973" s="7"/>
      <c r="O973" s="7"/>
      <c r="P973" s="7"/>
      <c r="Q973" s="7"/>
      <c r="R973" s="7"/>
      <c r="S973" s="7"/>
    </row>
    <row r="974" ht="14.25" customHeight="1">
      <c r="E974" s="7"/>
      <c r="F974" s="7"/>
      <c r="G974" s="7"/>
      <c r="J974" s="7"/>
      <c r="K974" s="7"/>
      <c r="L974" s="7"/>
      <c r="O974" s="7"/>
      <c r="P974" s="7"/>
      <c r="Q974" s="7"/>
      <c r="R974" s="7"/>
      <c r="S974" s="7"/>
    </row>
    <row r="975" ht="14.25" customHeight="1">
      <c r="E975" s="7"/>
      <c r="F975" s="7"/>
      <c r="G975" s="7"/>
      <c r="J975" s="7"/>
      <c r="K975" s="7"/>
      <c r="L975" s="7"/>
      <c r="O975" s="7"/>
      <c r="P975" s="7"/>
      <c r="Q975" s="7"/>
      <c r="R975" s="7"/>
      <c r="S975" s="7"/>
    </row>
    <row r="976" ht="14.25" customHeight="1">
      <c r="E976" s="7"/>
      <c r="F976" s="7"/>
      <c r="G976" s="7"/>
      <c r="J976" s="7"/>
      <c r="K976" s="7"/>
      <c r="L976" s="7"/>
      <c r="O976" s="7"/>
      <c r="P976" s="7"/>
      <c r="Q976" s="7"/>
      <c r="R976" s="7"/>
      <c r="S976" s="7"/>
    </row>
    <row r="977" ht="14.25" customHeight="1">
      <c r="E977" s="7"/>
      <c r="F977" s="7"/>
      <c r="G977" s="7"/>
      <c r="J977" s="7"/>
      <c r="K977" s="7"/>
      <c r="L977" s="7"/>
      <c r="O977" s="7"/>
      <c r="P977" s="7"/>
      <c r="Q977" s="7"/>
      <c r="R977" s="7"/>
      <c r="S977" s="7"/>
    </row>
    <row r="978" ht="14.25" customHeight="1">
      <c r="E978" s="7"/>
      <c r="F978" s="7"/>
      <c r="G978" s="7"/>
      <c r="J978" s="7"/>
      <c r="K978" s="7"/>
      <c r="L978" s="7"/>
      <c r="O978" s="7"/>
      <c r="P978" s="7"/>
      <c r="Q978" s="7"/>
      <c r="R978" s="7"/>
      <c r="S978" s="7"/>
    </row>
    <row r="979" ht="14.25" customHeight="1">
      <c r="E979" s="7"/>
      <c r="F979" s="7"/>
      <c r="G979" s="7"/>
      <c r="J979" s="7"/>
      <c r="K979" s="7"/>
      <c r="L979" s="7"/>
      <c r="O979" s="7"/>
      <c r="P979" s="7"/>
      <c r="Q979" s="7"/>
      <c r="R979" s="7"/>
      <c r="S979" s="7"/>
    </row>
    <row r="980" ht="14.25" customHeight="1">
      <c r="E980" s="7"/>
      <c r="F980" s="7"/>
      <c r="G980" s="7"/>
      <c r="J980" s="7"/>
      <c r="K980" s="7"/>
      <c r="L980" s="7"/>
      <c r="O980" s="7"/>
      <c r="P980" s="7"/>
      <c r="Q980" s="7"/>
      <c r="R980" s="7"/>
      <c r="S980" s="7"/>
    </row>
    <row r="981" ht="14.25" customHeight="1">
      <c r="E981" s="7"/>
      <c r="F981" s="7"/>
      <c r="G981" s="7"/>
      <c r="J981" s="7"/>
      <c r="K981" s="7"/>
      <c r="L981" s="7"/>
      <c r="O981" s="7"/>
      <c r="P981" s="7"/>
      <c r="Q981" s="7"/>
      <c r="R981" s="7"/>
      <c r="S981" s="7"/>
    </row>
    <row r="982" ht="14.25" customHeight="1">
      <c r="E982" s="7"/>
      <c r="F982" s="7"/>
      <c r="G982" s="7"/>
      <c r="J982" s="7"/>
      <c r="K982" s="7"/>
      <c r="L982" s="7"/>
      <c r="O982" s="7"/>
      <c r="P982" s="7"/>
      <c r="Q982" s="7"/>
      <c r="R982" s="7"/>
      <c r="S982" s="7"/>
    </row>
    <row r="983" ht="14.25" customHeight="1">
      <c r="E983" s="7"/>
      <c r="F983" s="7"/>
      <c r="G983" s="7"/>
      <c r="J983" s="7"/>
      <c r="K983" s="7"/>
      <c r="L983" s="7"/>
      <c r="O983" s="7"/>
      <c r="P983" s="7"/>
      <c r="Q983" s="7"/>
      <c r="R983" s="7"/>
      <c r="S983" s="7"/>
    </row>
    <row r="984" ht="14.25" customHeight="1">
      <c r="E984" s="7"/>
      <c r="F984" s="7"/>
      <c r="G984" s="7"/>
      <c r="J984" s="7"/>
      <c r="K984" s="7"/>
      <c r="L984" s="7"/>
      <c r="O984" s="7"/>
      <c r="P984" s="7"/>
      <c r="Q984" s="7"/>
      <c r="R984" s="7"/>
      <c r="S984" s="7"/>
    </row>
    <row r="985" ht="14.25" customHeight="1">
      <c r="E985" s="7"/>
      <c r="F985" s="7"/>
      <c r="G985" s="7"/>
      <c r="J985" s="7"/>
      <c r="K985" s="7"/>
      <c r="L985" s="7"/>
      <c r="O985" s="7"/>
      <c r="P985" s="7"/>
      <c r="Q985" s="7"/>
      <c r="R985" s="7"/>
      <c r="S985" s="7"/>
    </row>
    <row r="986" ht="14.25" customHeight="1">
      <c r="E986" s="7"/>
      <c r="F986" s="7"/>
      <c r="G986" s="7"/>
      <c r="J986" s="7"/>
      <c r="K986" s="7"/>
      <c r="L986" s="7"/>
      <c r="O986" s="7"/>
      <c r="P986" s="7"/>
      <c r="Q986" s="7"/>
      <c r="R986" s="7"/>
      <c r="S986" s="7"/>
    </row>
    <row r="987" ht="14.25" customHeight="1">
      <c r="E987" s="7"/>
      <c r="F987" s="7"/>
      <c r="G987" s="7"/>
      <c r="J987" s="7"/>
      <c r="K987" s="7"/>
      <c r="L987" s="7"/>
      <c r="O987" s="7"/>
      <c r="P987" s="7"/>
      <c r="Q987" s="7"/>
      <c r="R987" s="7"/>
      <c r="S987" s="7"/>
    </row>
    <row r="988" ht="14.25" customHeight="1">
      <c r="E988" s="7"/>
      <c r="F988" s="7"/>
      <c r="G988" s="7"/>
      <c r="J988" s="7"/>
      <c r="K988" s="7"/>
      <c r="L988" s="7"/>
      <c r="O988" s="7"/>
      <c r="P988" s="7"/>
      <c r="Q988" s="7"/>
      <c r="R988" s="7"/>
      <c r="S988" s="7"/>
    </row>
    <row r="989" ht="14.25" customHeight="1">
      <c r="E989" s="7"/>
      <c r="F989" s="7"/>
      <c r="G989" s="7"/>
      <c r="J989" s="7"/>
      <c r="K989" s="7"/>
      <c r="L989" s="7"/>
      <c r="O989" s="7"/>
      <c r="P989" s="7"/>
      <c r="Q989" s="7"/>
      <c r="R989" s="7"/>
      <c r="S989" s="7"/>
    </row>
    <row r="990" ht="14.25" customHeight="1">
      <c r="E990" s="7"/>
      <c r="F990" s="7"/>
      <c r="G990" s="7"/>
      <c r="J990" s="7"/>
      <c r="K990" s="7"/>
      <c r="L990" s="7"/>
      <c r="O990" s="7"/>
      <c r="P990" s="7"/>
      <c r="Q990" s="7"/>
      <c r="R990" s="7"/>
      <c r="S990" s="7"/>
    </row>
    <row r="991" ht="14.25" customHeight="1">
      <c r="E991" s="7"/>
      <c r="F991" s="7"/>
      <c r="G991" s="7"/>
      <c r="J991" s="7"/>
      <c r="K991" s="7"/>
      <c r="L991" s="7"/>
      <c r="O991" s="7"/>
      <c r="P991" s="7"/>
      <c r="Q991" s="7"/>
      <c r="R991" s="7"/>
      <c r="S991" s="7"/>
    </row>
    <row r="992" ht="14.25" customHeight="1">
      <c r="E992" s="7"/>
      <c r="F992" s="7"/>
      <c r="G992" s="7"/>
      <c r="J992" s="7"/>
      <c r="K992" s="7"/>
      <c r="L992" s="7"/>
      <c r="O992" s="7"/>
      <c r="P992" s="7"/>
      <c r="Q992" s="7"/>
      <c r="R992" s="7"/>
      <c r="S992" s="7"/>
    </row>
    <row r="993" ht="14.25" customHeight="1">
      <c r="E993" s="7"/>
      <c r="F993" s="7"/>
      <c r="G993" s="7"/>
      <c r="J993" s="7"/>
      <c r="K993" s="7"/>
      <c r="L993" s="7"/>
      <c r="O993" s="7"/>
      <c r="P993" s="7"/>
      <c r="Q993" s="7"/>
      <c r="R993" s="7"/>
      <c r="S993" s="7"/>
    </row>
    <row r="994" ht="14.25" customHeight="1">
      <c r="E994" s="7"/>
      <c r="F994" s="7"/>
      <c r="G994" s="7"/>
      <c r="J994" s="7"/>
      <c r="K994" s="7"/>
      <c r="L994" s="7"/>
      <c r="O994" s="7"/>
      <c r="P994" s="7"/>
      <c r="Q994" s="7"/>
      <c r="R994" s="7"/>
      <c r="S994" s="7"/>
    </row>
    <row r="995" ht="14.25" customHeight="1">
      <c r="E995" s="7"/>
      <c r="F995" s="7"/>
      <c r="G995" s="7"/>
      <c r="J995" s="7"/>
      <c r="K995" s="7"/>
      <c r="L995" s="7"/>
      <c r="O995" s="7"/>
      <c r="P995" s="7"/>
      <c r="Q995" s="7"/>
      <c r="R995" s="7"/>
      <c r="S995" s="7"/>
    </row>
    <row r="996" ht="14.25" customHeight="1">
      <c r="E996" s="7"/>
      <c r="F996" s="7"/>
      <c r="G996" s="7"/>
      <c r="J996" s="7"/>
      <c r="K996" s="7"/>
      <c r="L996" s="7"/>
      <c r="O996" s="7"/>
      <c r="P996" s="7"/>
      <c r="Q996" s="7"/>
      <c r="R996" s="7"/>
      <c r="S996" s="7"/>
    </row>
    <row r="997" ht="14.25" customHeight="1">
      <c r="E997" s="7"/>
      <c r="F997" s="7"/>
      <c r="G997" s="7"/>
      <c r="J997" s="7"/>
      <c r="K997" s="7"/>
      <c r="L997" s="7"/>
      <c r="O997" s="7"/>
      <c r="P997" s="7"/>
      <c r="Q997" s="7"/>
      <c r="R997" s="7"/>
      <c r="S997" s="7"/>
    </row>
    <row r="998" ht="14.25" customHeight="1">
      <c r="E998" s="7"/>
      <c r="F998" s="7"/>
      <c r="G998" s="7"/>
      <c r="J998" s="7"/>
      <c r="K998" s="7"/>
      <c r="L998" s="7"/>
      <c r="O998" s="7"/>
      <c r="P998" s="7"/>
      <c r="Q998" s="7"/>
      <c r="R998" s="7"/>
      <c r="S998" s="7"/>
    </row>
    <row r="999" ht="14.25" customHeight="1">
      <c r="E999" s="7"/>
      <c r="F999" s="7"/>
      <c r="G999" s="7"/>
      <c r="J999" s="7"/>
      <c r="K999" s="7"/>
      <c r="L999" s="7"/>
      <c r="O999" s="7"/>
      <c r="P999" s="7"/>
      <c r="Q999" s="7"/>
      <c r="R999" s="7"/>
      <c r="S999" s="7"/>
    </row>
    <row r="1000" ht="14.25" customHeight="1">
      <c r="E1000" s="7"/>
      <c r="F1000" s="7"/>
      <c r="G1000" s="7"/>
      <c r="J1000" s="7"/>
      <c r="K1000" s="7"/>
      <c r="L1000" s="7"/>
      <c r="O1000" s="7"/>
      <c r="P1000" s="7"/>
      <c r="Q1000" s="7"/>
      <c r="R1000" s="7"/>
      <c r="S1000" s="7"/>
    </row>
  </sheetData>
  <mergeCells count="43">
    <mergeCell ref="H4:P4"/>
    <mergeCell ref="B5:W7"/>
    <mergeCell ref="B9:C9"/>
    <mergeCell ref="D9:J9"/>
    <mergeCell ref="K9:M9"/>
    <mergeCell ref="N9:T9"/>
    <mergeCell ref="V9:W9"/>
    <mergeCell ref="T12:U12"/>
    <mergeCell ref="V12:W12"/>
    <mergeCell ref="G10:L10"/>
    <mergeCell ref="M10:T10"/>
    <mergeCell ref="U10:W10"/>
    <mergeCell ref="B12:C12"/>
    <mergeCell ref="D12:H12"/>
    <mergeCell ref="I12:M12"/>
    <mergeCell ref="N12:S12"/>
    <mergeCell ref="B13:C13"/>
    <mergeCell ref="D13:H13"/>
    <mergeCell ref="I13:M13"/>
    <mergeCell ref="N13:S13"/>
    <mergeCell ref="T13:U13"/>
    <mergeCell ref="V13:W13"/>
    <mergeCell ref="E14:H14"/>
    <mergeCell ref="R14:S14"/>
    <mergeCell ref="J16:M16"/>
    <mergeCell ref="J17:M17"/>
    <mergeCell ref="J18:M18"/>
    <mergeCell ref="J14:K14"/>
    <mergeCell ref="L14:M14"/>
    <mergeCell ref="E15:H15"/>
    <mergeCell ref="J15:M15"/>
    <mergeCell ref="O15:S15"/>
    <mergeCell ref="R16:S16"/>
    <mergeCell ref="E17:H17"/>
    <mergeCell ref="A25:X25"/>
    <mergeCell ref="A26:X29"/>
    <mergeCell ref="O17:S17"/>
    <mergeCell ref="O18:S18"/>
    <mergeCell ref="O19:P19"/>
    <mergeCell ref="Q19:R19"/>
    <mergeCell ref="O20:S20"/>
    <mergeCell ref="O21:S21"/>
    <mergeCell ref="O22:S22"/>
  </mergeCells>
  <printOptions/>
  <pageMargins bottom="0.75" footer="0.0" header="0.0" left="0.7" right="0.7" top="0.75"/>
  <pageSetup orientation="landscape"/>
  <headerFooter>
    <oddHeader>&amp;L00-046 &amp;R00-042V1 </oddHeader>
  </headerFooter>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showGridLines="0" workbookViewId="0"/>
  </sheetViews>
  <sheetFormatPr customHeight="1" defaultColWidth="14.43" defaultRowHeight="15.0"/>
  <cols>
    <col customWidth="1" min="1" max="26" width="8.71"/>
  </cols>
  <sheetData>
    <row r="1" ht="23.25" customHeight="1">
      <c r="A1" s="57"/>
      <c r="B1" s="57"/>
      <c r="C1" s="57"/>
      <c r="D1" s="57"/>
      <c r="E1" s="57"/>
      <c r="F1" s="57"/>
      <c r="G1" s="57"/>
      <c r="H1" s="2" t="str">
        <f>"ErgoCheck Risk Report"&amp;CHAR(10)&amp;IFERROR(VLOOKUP('Answer Sheet'!C14,'Matrix - Part 1'!C5:D6,2,FALSE),"")</f>
        <v>ErgoCheck Risk Report
</v>
      </c>
      <c r="N1" s="57"/>
      <c r="O1" s="7"/>
      <c r="P1" s="7"/>
      <c r="Q1" s="7"/>
      <c r="R1" s="7"/>
      <c r="S1" s="7"/>
      <c r="T1" s="7"/>
      <c r="U1" s="7"/>
      <c r="V1" s="7"/>
      <c r="W1" s="7"/>
      <c r="X1" s="7"/>
      <c r="Y1" s="7"/>
      <c r="Z1" s="7"/>
    </row>
    <row r="2" ht="14.25" customHeight="1">
      <c r="A2" s="58"/>
      <c r="B2" s="58"/>
      <c r="C2" s="58"/>
      <c r="D2" s="58"/>
      <c r="E2" s="58"/>
      <c r="F2" s="58"/>
      <c r="G2" s="58"/>
      <c r="N2" s="58"/>
      <c r="O2" s="7"/>
      <c r="P2" s="7"/>
      <c r="Q2" s="7"/>
      <c r="R2" s="7"/>
      <c r="S2" s="7"/>
      <c r="T2" s="7"/>
      <c r="U2" s="7"/>
      <c r="V2" s="7"/>
      <c r="W2" s="7"/>
      <c r="X2" s="7"/>
      <c r="Y2" s="7"/>
      <c r="Z2" s="7"/>
    </row>
    <row r="3" ht="14.25" customHeight="1">
      <c r="A3" s="58"/>
      <c r="B3" s="58"/>
      <c r="C3" s="58"/>
      <c r="D3" s="58"/>
      <c r="E3" s="58"/>
      <c r="F3" s="58"/>
      <c r="G3" s="58"/>
      <c r="N3" s="58"/>
      <c r="O3" s="7"/>
      <c r="P3" s="7"/>
      <c r="Q3" s="7"/>
      <c r="R3" s="7"/>
      <c r="S3" s="7"/>
      <c r="T3" s="7"/>
      <c r="U3" s="7"/>
      <c r="V3" s="7"/>
      <c r="W3" s="7"/>
      <c r="X3" s="7"/>
      <c r="Y3" s="7"/>
      <c r="Z3" s="7"/>
    </row>
    <row r="4" ht="14.25" customHeight="1">
      <c r="A4" s="7"/>
      <c r="B4" s="5" t="s">
        <v>2</v>
      </c>
      <c r="K4" s="7"/>
      <c r="L4" s="7"/>
      <c r="M4" s="7"/>
      <c r="N4" s="7"/>
      <c r="O4" s="7"/>
      <c r="P4" s="7"/>
      <c r="Q4" s="7"/>
      <c r="R4" s="7"/>
      <c r="S4" s="7"/>
      <c r="T4" s="7"/>
      <c r="U4" s="7"/>
      <c r="V4" s="7"/>
      <c r="W4" s="7"/>
      <c r="X4" s="7"/>
      <c r="Y4" s="7"/>
      <c r="Z4" s="7"/>
    </row>
    <row r="5" ht="14.25" customHeight="1">
      <c r="A5" s="7"/>
      <c r="B5" s="59" t="str">
        <f>'Matrix - Part 1'!E2</f>
        <v>This report has been generated to inform departmental leadership of the unique and personal challenges a worker has reported when performing the job duty of . Ergonomic hazards associated with contact stress, force, awkward posture and repetition are prioritized based on the level of risk. The worker has been in this occupation for  of which  has been with the City.</v>
      </c>
      <c r="N5" s="7"/>
      <c r="O5" s="7"/>
      <c r="P5" s="7"/>
      <c r="Q5" s="7"/>
      <c r="R5" s="7"/>
      <c r="S5" s="7"/>
      <c r="T5" s="7"/>
      <c r="U5" s="7"/>
      <c r="V5" s="7"/>
      <c r="W5" s="7"/>
      <c r="X5" s="7"/>
      <c r="Y5" s="7"/>
      <c r="Z5" s="7"/>
    </row>
    <row r="6" ht="14.25" customHeight="1">
      <c r="A6" s="60"/>
      <c r="N6" s="7"/>
      <c r="O6" s="7"/>
      <c r="P6" s="7"/>
      <c r="Q6" s="7"/>
      <c r="R6" s="7"/>
      <c r="S6" s="7"/>
      <c r="T6" s="7"/>
      <c r="U6" s="7"/>
      <c r="V6" s="7"/>
      <c r="W6" s="7"/>
      <c r="X6" s="7"/>
      <c r="Y6" s="7"/>
      <c r="Z6" s="7"/>
    </row>
    <row r="7" ht="14.25" customHeight="1">
      <c r="A7" s="60"/>
      <c r="N7" s="7"/>
      <c r="O7" s="7"/>
      <c r="P7" s="7"/>
      <c r="Q7" s="7"/>
      <c r="R7" s="7"/>
      <c r="S7" s="7"/>
      <c r="T7" s="7"/>
      <c r="U7" s="7"/>
      <c r="V7" s="7"/>
      <c r="W7" s="7"/>
      <c r="X7" s="7"/>
      <c r="Y7" s="7"/>
      <c r="Z7" s="7"/>
    </row>
    <row r="8" ht="14.25" customHeight="1">
      <c r="A8" s="60"/>
      <c r="N8" s="7"/>
      <c r="O8" s="7"/>
      <c r="P8" s="7"/>
      <c r="Q8" s="7"/>
      <c r="R8" s="7"/>
      <c r="S8" s="7"/>
      <c r="T8" s="7"/>
      <c r="U8" s="7"/>
      <c r="V8" s="7"/>
      <c r="W8" s="7"/>
      <c r="X8" s="7"/>
      <c r="Y8" s="7"/>
      <c r="Z8" s="7"/>
    </row>
    <row r="9" ht="14.25" customHeight="1">
      <c r="A9" s="60"/>
      <c r="B9" s="61"/>
      <c r="C9" s="61"/>
      <c r="D9" s="61"/>
      <c r="E9" s="62"/>
      <c r="F9" s="62"/>
      <c r="G9" s="62"/>
      <c r="H9" s="62"/>
      <c r="I9" s="62"/>
      <c r="J9" s="62"/>
      <c r="K9" s="62"/>
      <c r="L9" s="62"/>
      <c r="M9" s="62"/>
      <c r="N9" s="7"/>
      <c r="O9" s="7"/>
      <c r="P9" s="7"/>
      <c r="Q9" s="7"/>
      <c r="R9" s="7"/>
      <c r="S9" s="7"/>
      <c r="T9" s="7"/>
      <c r="U9" s="7"/>
      <c r="V9" s="7"/>
      <c r="W9" s="7"/>
      <c r="X9" s="7"/>
      <c r="Y9" s="7"/>
      <c r="Z9" s="7"/>
    </row>
    <row r="10" ht="14.25" customHeight="1">
      <c r="A10" s="60"/>
      <c r="B10" s="63" t="str">
        <f>IFERROR("A total of "&amp;'Matrix - Part 1'!E19&amp;" hazards have been identified.","")</f>
        <v>A total of 0 hazards have been identified.</v>
      </c>
      <c r="N10" s="7"/>
      <c r="O10" s="7"/>
      <c r="P10" s="7"/>
      <c r="Q10" s="7"/>
      <c r="R10" s="7"/>
      <c r="S10" s="7"/>
      <c r="T10" s="7"/>
      <c r="U10" s="7"/>
      <c r="V10" s="7"/>
      <c r="W10" s="7"/>
      <c r="X10" s="7"/>
      <c r="Y10" s="7"/>
      <c r="Z10" s="7"/>
    </row>
    <row r="11" ht="14.25" customHeight="1">
      <c r="A11" s="60"/>
      <c r="B11" s="7"/>
      <c r="C11" s="64"/>
      <c r="D11" s="64"/>
      <c r="E11" s="64"/>
      <c r="F11" s="64"/>
      <c r="G11" s="64"/>
      <c r="H11" s="64"/>
      <c r="I11" s="64"/>
      <c r="J11" s="64"/>
      <c r="K11" s="64"/>
      <c r="L11" s="64"/>
      <c r="M11" s="64"/>
      <c r="N11" s="7"/>
      <c r="O11" s="7"/>
      <c r="P11" s="7"/>
      <c r="Q11" s="7"/>
      <c r="R11" s="7"/>
      <c r="S11" s="7"/>
      <c r="T11" s="7"/>
      <c r="U11" s="7"/>
      <c r="V11" s="7"/>
      <c r="W11" s="7"/>
      <c r="X11" s="7"/>
      <c r="Y11" s="7"/>
      <c r="Z11" s="7"/>
    </row>
    <row r="12" ht="15.0" customHeight="1">
      <c r="A12" s="7"/>
      <c r="B12" s="18"/>
      <c r="C12" s="65"/>
      <c r="D12" s="66" t="s">
        <v>56</v>
      </c>
      <c r="H12" s="67"/>
      <c r="I12" s="68">
        <f>'Matrix - Part 1'!A19</f>
        <v>0</v>
      </c>
      <c r="J12" s="69"/>
      <c r="K12" s="65"/>
      <c r="L12" s="65"/>
      <c r="M12" s="65"/>
      <c r="N12" s="7"/>
      <c r="O12" s="7"/>
      <c r="P12" s="7"/>
      <c r="Q12" s="7"/>
      <c r="R12" s="7"/>
      <c r="S12" s="7"/>
      <c r="T12" s="7"/>
      <c r="U12" s="7"/>
      <c r="V12" s="7"/>
      <c r="W12" s="7"/>
      <c r="X12" s="7"/>
      <c r="Y12" s="7"/>
      <c r="Z12" s="7"/>
    </row>
    <row r="13" ht="14.25" customHeight="1">
      <c r="A13" s="7"/>
      <c r="B13" s="65"/>
      <c r="C13" s="65"/>
      <c r="D13" s="66" t="s">
        <v>57</v>
      </c>
      <c r="H13" s="67"/>
      <c r="I13" s="70">
        <f>'Matrix - Part 1'!B19</f>
        <v>0</v>
      </c>
      <c r="J13" s="69"/>
      <c r="K13" s="65"/>
      <c r="L13" s="65"/>
      <c r="M13" s="65"/>
      <c r="N13" s="7"/>
      <c r="O13" s="7"/>
      <c r="P13" s="7"/>
      <c r="Q13" s="7"/>
      <c r="R13" s="7"/>
      <c r="S13" s="7"/>
      <c r="T13" s="7"/>
      <c r="U13" s="7"/>
      <c r="V13" s="7"/>
      <c r="W13" s="7"/>
      <c r="X13" s="7"/>
      <c r="Y13" s="7"/>
      <c r="Z13" s="7"/>
    </row>
    <row r="14" ht="14.25" customHeight="1">
      <c r="A14" s="7"/>
      <c r="B14" s="65"/>
      <c r="C14" s="65"/>
      <c r="D14" s="66" t="s">
        <v>58</v>
      </c>
      <c r="H14" s="67"/>
      <c r="I14" s="71">
        <f>'Matrix - Part 1'!C19</f>
        <v>0</v>
      </c>
      <c r="J14" s="69"/>
      <c r="K14" s="65"/>
      <c r="L14" s="65"/>
      <c r="M14" s="65"/>
      <c r="N14" s="7"/>
      <c r="O14" s="7"/>
      <c r="P14" s="7"/>
      <c r="Q14" s="7"/>
      <c r="R14" s="7"/>
      <c r="S14" s="7"/>
      <c r="T14" s="7"/>
      <c r="U14" s="7"/>
      <c r="V14" s="7"/>
      <c r="W14" s="7"/>
      <c r="X14" s="7"/>
      <c r="Y14" s="7"/>
      <c r="Z14" s="7"/>
    </row>
    <row r="15" ht="14.25" customHeight="1">
      <c r="A15" s="7"/>
      <c r="B15" s="65"/>
      <c r="C15" s="65"/>
      <c r="D15" s="66"/>
      <c r="E15" s="66"/>
      <c r="F15" s="66"/>
      <c r="G15" s="66"/>
      <c r="H15" s="72"/>
      <c r="I15" s="73"/>
      <c r="J15" s="73"/>
      <c r="K15" s="65"/>
      <c r="L15" s="65"/>
      <c r="M15" s="65"/>
      <c r="N15" s="7"/>
      <c r="O15" s="7"/>
      <c r="P15" s="7"/>
      <c r="Q15" s="7"/>
      <c r="R15" s="7"/>
      <c r="S15" s="7"/>
      <c r="T15" s="7"/>
      <c r="U15" s="7"/>
      <c r="V15" s="7"/>
      <c r="W15" s="7"/>
      <c r="X15" s="7"/>
      <c r="Y15" s="7"/>
      <c r="Z15" s="7"/>
    </row>
    <row r="16" ht="14.25" customHeight="1">
      <c r="A16" s="7"/>
      <c r="B16" s="74" t="s">
        <v>59</v>
      </c>
      <c r="N16" s="7"/>
      <c r="O16" s="7"/>
      <c r="P16" s="7"/>
      <c r="Q16" s="7"/>
      <c r="R16" s="7"/>
      <c r="S16" s="7"/>
      <c r="T16" s="7"/>
      <c r="U16" s="7"/>
      <c r="V16" s="7"/>
      <c r="W16" s="7"/>
      <c r="X16" s="7"/>
      <c r="Y16" s="7"/>
      <c r="Z16" s="7"/>
    </row>
    <row r="17" ht="14.25" customHeight="1">
      <c r="A17" s="7"/>
      <c r="B17" s="65"/>
      <c r="C17" s="65"/>
      <c r="D17" s="65"/>
      <c r="E17" s="65"/>
      <c r="F17" s="65"/>
      <c r="G17" s="65"/>
      <c r="H17" s="75"/>
      <c r="I17" s="65"/>
      <c r="J17" s="65"/>
      <c r="K17" s="65"/>
      <c r="L17" s="65"/>
      <c r="M17" s="65"/>
      <c r="N17" s="7"/>
      <c r="O17" s="7"/>
      <c r="P17" s="7"/>
      <c r="Q17" s="7"/>
      <c r="R17" s="7"/>
      <c r="S17" s="7"/>
      <c r="T17" s="7"/>
      <c r="U17" s="7"/>
      <c r="V17" s="7"/>
      <c r="W17" s="7"/>
      <c r="X17" s="7"/>
      <c r="Y17" s="7"/>
      <c r="Z17" s="7"/>
    </row>
    <row r="18" ht="14.25" customHeight="1">
      <c r="A18" s="7"/>
      <c r="B18" s="6" t="str">
        <f>IFERROR(VLOOKUP('Answer Sheet'!C16,'Matrix - Part 1'!C8:H11,3,FALSE),"")</f>
        <v/>
      </c>
      <c r="N18" s="7"/>
      <c r="O18" s="7"/>
      <c r="P18" s="7"/>
      <c r="Q18" s="7"/>
      <c r="R18" s="7"/>
      <c r="S18" s="7"/>
      <c r="T18" s="7"/>
      <c r="U18" s="7"/>
      <c r="V18" s="7"/>
      <c r="W18" s="7"/>
      <c r="X18" s="7"/>
      <c r="Y18" s="7"/>
      <c r="Z18" s="7"/>
    </row>
    <row r="19" ht="27.0" customHeight="1">
      <c r="A19" s="7"/>
      <c r="N19" s="7"/>
      <c r="O19" s="7"/>
      <c r="P19" s="7"/>
      <c r="Q19" s="7"/>
      <c r="S19" s="7"/>
      <c r="T19" s="7"/>
      <c r="U19" s="7"/>
      <c r="V19" s="7"/>
      <c r="W19" s="7"/>
      <c r="X19" s="7"/>
      <c r="Y19" s="7"/>
      <c r="Z19" s="7"/>
    </row>
    <row r="20" ht="14.25" customHeight="1">
      <c r="A20" s="7"/>
      <c r="B20" s="76"/>
      <c r="C20" s="77"/>
      <c r="D20" s="77"/>
      <c r="E20" s="77"/>
      <c r="F20" s="77"/>
      <c r="G20" s="77"/>
      <c r="H20" s="77"/>
      <c r="I20" s="77"/>
      <c r="J20" s="77"/>
      <c r="K20" s="77"/>
      <c r="L20" s="77"/>
      <c r="M20" s="76"/>
      <c r="N20" s="7"/>
      <c r="O20" s="7"/>
      <c r="P20" s="7"/>
      <c r="Q20" s="7"/>
      <c r="R20" s="7"/>
      <c r="S20" s="7"/>
      <c r="T20" s="7"/>
      <c r="U20" s="7"/>
      <c r="V20" s="7"/>
      <c r="W20" s="7"/>
      <c r="X20" s="7"/>
      <c r="Y20" s="7"/>
      <c r="Z20" s="7"/>
    </row>
    <row r="21" ht="14.25" customHeight="1">
      <c r="A21" s="7"/>
      <c r="B21" s="76"/>
      <c r="C21" s="76"/>
      <c r="D21" s="76"/>
      <c r="E21" s="76"/>
      <c r="F21" s="76"/>
      <c r="G21" s="76"/>
      <c r="H21" s="78" t="s">
        <v>60</v>
      </c>
      <c r="N21" s="7"/>
      <c r="O21" s="7"/>
      <c r="P21" s="7"/>
      <c r="Q21" s="7"/>
      <c r="R21" s="7"/>
      <c r="S21" s="7"/>
      <c r="T21" s="7"/>
      <c r="U21" s="7"/>
      <c r="V21" s="7"/>
      <c r="W21" s="7"/>
      <c r="X21" s="7"/>
      <c r="Y21" s="7"/>
      <c r="Z21" s="7"/>
    </row>
    <row r="22" ht="14.25" customHeight="1">
      <c r="A22" s="7"/>
      <c r="B22" s="76"/>
      <c r="C22" s="76"/>
      <c r="D22" s="76"/>
      <c r="E22" s="76"/>
      <c r="F22" s="76"/>
      <c r="G22" s="76"/>
      <c r="N22" s="7"/>
      <c r="O22" s="7"/>
      <c r="P22" s="7"/>
      <c r="Q22" s="7"/>
      <c r="R22" s="7"/>
      <c r="S22" s="7"/>
      <c r="T22" s="7"/>
      <c r="U22" s="7"/>
      <c r="V22" s="7"/>
      <c r="W22" s="7"/>
      <c r="X22" s="7"/>
      <c r="Y22" s="7"/>
      <c r="Z22" s="7"/>
    </row>
    <row r="23" ht="14.25" customHeight="1">
      <c r="A23" s="7"/>
      <c r="B23" s="76"/>
      <c r="C23" s="76"/>
      <c r="D23" s="76"/>
      <c r="E23" s="76"/>
      <c r="F23" s="76"/>
      <c r="G23" s="76"/>
      <c r="N23" s="7"/>
      <c r="O23" s="7"/>
      <c r="P23" s="7"/>
      <c r="Q23" s="7"/>
      <c r="R23" s="7"/>
      <c r="S23" s="7"/>
      <c r="T23" s="7"/>
      <c r="U23" s="7"/>
      <c r="V23" s="7"/>
      <c r="W23" s="7"/>
      <c r="X23" s="7"/>
      <c r="Y23" s="7"/>
      <c r="Z23" s="7"/>
    </row>
    <row r="24" ht="14.25" customHeight="1">
      <c r="A24" s="7"/>
      <c r="B24" s="76"/>
      <c r="C24" s="76"/>
      <c r="D24" s="76"/>
      <c r="E24" s="76"/>
      <c r="F24" s="76"/>
      <c r="G24" s="76"/>
      <c r="N24" s="7"/>
      <c r="O24" s="7"/>
      <c r="P24" s="7"/>
      <c r="Q24" s="7"/>
      <c r="R24" s="7"/>
      <c r="S24" s="7"/>
      <c r="T24" s="7"/>
      <c r="U24" s="7"/>
      <c r="V24" s="7"/>
      <c r="W24" s="7"/>
      <c r="X24" s="7"/>
      <c r="Y24" s="7"/>
      <c r="Z24" s="7"/>
    </row>
    <row r="25" ht="14.25" customHeight="1">
      <c r="A25" s="7"/>
      <c r="B25" s="76"/>
      <c r="C25" s="76"/>
      <c r="D25" s="76"/>
      <c r="E25" s="76"/>
      <c r="F25" s="76"/>
      <c r="G25" s="76"/>
      <c r="N25" s="7"/>
      <c r="O25" s="7"/>
      <c r="P25" s="7"/>
      <c r="Q25" s="7"/>
      <c r="R25" s="7"/>
      <c r="S25" s="7"/>
      <c r="T25" s="7"/>
      <c r="U25" s="7"/>
      <c r="V25" s="7"/>
      <c r="W25" s="7"/>
      <c r="X25" s="7"/>
      <c r="Y25" s="7"/>
      <c r="Z25" s="7"/>
    </row>
    <row r="26" ht="14.25" customHeight="1">
      <c r="A26" s="7"/>
      <c r="B26" s="65"/>
      <c r="C26" s="65"/>
      <c r="D26" s="65"/>
      <c r="E26" s="65"/>
      <c r="F26" s="65"/>
      <c r="G26" s="65"/>
      <c r="N26" s="7"/>
      <c r="O26" s="7"/>
      <c r="P26" s="7"/>
      <c r="Q26" s="7"/>
      <c r="R26" s="7"/>
      <c r="S26" s="7"/>
      <c r="T26" s="7"/>
      <c r="U26" s="7"/>
      <c r="V26" s="7"/>
      <c r="W26" s="7"/>
      <c r="X26" s="7"/>
      <c r="Y26" s="7"/>
      <c r="Z26" s="7"/>
    </row>
    <row r="27" ht="14.25" customHeight="1">
      <c r="A27" s="7"/>
      <c r="B27" s="65"/>
      <c r="C27" s="65"/>
      <c r="D27" s="65"/>
      <c r="E27" s="65"/>
      <c r="F27" s="65"/>
      <c r="G27" s="65"/>
      <c r="N27" s="7"/>
      <c r="O27" s="7"/>
      <c r="P27" s="7"/>
      <c r="Q27" s="7"/>
      <c r="R27" s="7"/>
      <c r="S27" s="7"/>
      <c r="T27" s="7"/>
      <c r="U27" s="7"/>
      <c r="V27" s="7"/>
      <c r="W27" s="7"/>
      <c r="X27" s="7"/>
      <c r="Y27" s="7"/>
      <c r="Z27" s="7"/>
    </row>
    <row r="28" ht="14.25" customHeight="1">
      <c r="A28" s="7"/>
      <c r="B28" s="7"/>
      <c r="C28" s="7"/>
      <c r="D28" s="7"/>
      <c r="E28" s="7"/>
      <c r="F28" s="7"/>
      <c r="G28" s="7"/>
      <c r="N28" s="7"/>
      <c r="O28" s="7"/>
      <c r="P28" s="7"/>
      <c r="Q28" s="7"/>
      <c r="R28" s="7"/>
      <c r="S28" s="7"/>
      <c r="T28" s="7"/>
      <c r="U28" s="7"/>
      <c r="V28" s="7"/>
      <c r="W28" s="7"/>
      <c r="X28" s="7"/>
      <c r="Y28" s="7"/>
      <c r="Z28" s="7"/>
    </row>
    <row r="29" ht="14.25" customHeight="1">
      <c r="A29" s="79"/>
      <c r="B29" s="80"/>
      <c r="C29" s="80"/>
      <c r="D29" s="80"/>
      <c r="E29" s="80"/>
      <c r="F29" s="80"/>
      <c r="G29" s="80"/>
      <c r="N29" s="80"/>
      <c r="O29" s="7"/>
      <c r="P29" s="7"/>
      <c r="Q29" s="7"/>
      <c r="R29" s="7"/>
      <c r="S29" s="7"/>
      <c r="T29" s="7"/>
      <c r="U29" s="7"/>
      <c r="V29" s="7"/>
      <c r="W29" s="7"/>
      <c r="X29" s="7"/>
      <c r="Y29" s="7"/>
      <c r="Z29" s="7"/>
    </row>
    <row r="30" ht="14.25" customHeight="1">
      <c r="A30" s="55" t="s">
        <v>61</v>
      </c>
      <c r="O30" s="7"/>
      <c r="P30" s="7"/>
      <c r="Q30" s="7"/>
      <c r="R30" s="7"/>
      <c r="S30" s="7"/>
      <c r="T30" s="7"/>
      <c r="U30" s="7"/>
      <c r="V30" s="7"/>
      <c r="W30" s="7"/>
      <c r="X30" s="7"/>
      <c r="Y30" s="7"/>
      <c r="Z30" s="7"/>
    </row>
    <row r="31" ht="14.25" customHeight="1">
      <c r="A31" s="55" t="str">
        <f>"Report ID "&amp;TEXT(NOW(),"MDHM-Y")</f>
        <v>Report ID 561455-26</v>
      </c>
      <c r="O31" s="7"/>
      <c r="P31" s="7"/>
      <c r="Q31" s="7"/>
      <c r="R31" s="7"/>
      <c r="S31" s="7"/>
      <c r="T31" s="7"/>
      <c r="U31" s="7"/>
      <c r="V31" s="7"/>
      <c r="W31" s="7"/>
      <c r="X31" s="7"/>
      <c r="Y31" s="7"/>
      <c r="Z31" s="7"/>
    </row>
    <row r="32" ht="14.25" customHeight="1">
      <c r="A32" s="55" t="s">
        <v>62</v>
      </c>
      <c r="O32" s="7"/>
      <c r="P32" s="7"/>
      <c r="Q32" s="7"/>
      <c r="R32" s="7"/>
      <c r="S32" s="7"/>
      <c r="T32" s="7"/>
      <c r="U32" s="7"/>
      <c r="V32" s="7"/>
      <c r="W32" s="7"/>
      <c r="X32" s="7"/>
      <c r="Y32" s="7"/>
      <c r="Z32" s="7"/>
    </row>
    <row r="33" ht="14.25" customHeight="1">
      <c r="A33" s="7"/>
      <c r="B33" s="65"/>
      <c r="C33" s="65"/>
      <c r="D33" s="65"/>
      <c r="E33" s="65"/>
      <c r="F33" s="65"/>
      <c r="G33" s="65"/>
      <c r="H33" s="65"/>
      <c r="I33" s="65"/>
      <c r="J33" s="65"/>
      <c r="K33" s="65"/>
      <c r="L33" s="65"/>
      <c r="M33" s="65"/>
      <c r="N33" s="7"/>
      <c r="O33" s="7"/>
      <c r="P33" s="7"/>
      <c r="Q33" s="7"/>
      <c r="R33" s="7"/>
      <c r="S33" s="7"/>
      <c r="T33" s="7"/>
      <c r="U33" s="7"/>
      <c r="V33" s="7"/>
      <c r="W33" s="7"/>
      <c r="X33" s="7"/>
      <c r="Y33" s="7"/>
      <c r="Z33" s="7"/>
    </row>
    <row r="34" ht="23.25" customHeight="1">
      <c r="A34" s="7"/>
      <c r="B34" s="81"/>
      <c r="C34" s="81"/>
      <c r="D34" s="81"/>
      <c r="E34" s="81"/>
      <c r="F34" s="81"/>
      <c r="G34" s="81"/>
      <c r="H34" s="2" t="s">
        <v>63</v>
      </c>
      <c r="N34" s="7"/>
      <c r="O34" s="7"/>
      <c r="P34" s="7"/>
      <c r="Q34" s="7"/>
      <c r="R34" s="7"/>
      <c r="S34" s="7"/>
      <c r="T34" s="7"/>
      <c r="U34" s="7"/>
      <c r="V34" s="7"/>
      <c r="W34" s="7"/>
      <c r="X34" s="7"/>
      <c r="Y34" s="7"/>
      <c r="Z34" s="7"/>
    </row>
    <row r="35" ht="14.25" customHeight="1">
      <c r="A35" s="7"/>
      <c r="B35" s="7"/>
      <c r="C35" s="7"/>
      <c r="D35" s="7"/>
      <c r="E35" s="7"/>
      <c r="F35" s="7"/>
      <c r="G35" s="7"/>
      <c r="N35" s="7"/>
      <c r="O35" s="7"/>
      <c r="P35" s="7"/>
      <c r="Q35" s="7"/>
      <c r="R35" s="7"/>
      <c r="S35" s="7"/>
      <c r="T35" s="7"/>
      <c r="U35" s="7"/>
      <c r="V35" s="7"/>
      <c r="W35" s="7"/>
      <c r="X35" s="7"/>
      <c r="Y35" s="7"/>
      <c r="Z35" s="7"/>
    </row>
    <row r="36" ht="14.25" customHeight="1">
      <c r="A36" s="7"/>
      <c r="B36" s="7"/>
      <c r="C36" s="7"/>
      <c r="D36" s="7"/>
      <c r="E36" s="7"/>
      <c r="F36" s="7"/>
      <c r="G36" s="7"/>
      <c r="N36" s="7"/>
      <c r="O36" s="7"/>
      <c r="P36" s="7"/>
      <c r="Q36" s="7"/>
      <c r="R36" s="7"/>
      <c r="S36" s="7"/>
      <c r="T36" s="7"/>
      <c r="U36" s="7"/>
      <c r="V36" s="7"/>
      <c r="W36" s="7"/>
      <c r="X36" s="7"/>
      <c r="Y36" s="7"/>
      <c r="Z36" s="7"/>
    </row>
    <row r="37" ht="14.25" customHeight="1">
      <c r="A37" s="7"/>
      <c r="B37" s="7"/>
      <c r="C37" s="7"/>
      <c r="D37" s="7"/>
      <c r="E37" s="7"/>
      <c r="F37" s="7"/>
      <c r="G37" s="7"/>
      <c r="H37" s="7"/>
      <c r="I37" s="7"/>
      <c r="J37" s="7"/>
      <c r="K37" s="7"/>
      <c r="L37" s="7"/>
      <c r="M37" s="7"/>
      <c r="N37" s="7"/>
      <c r="O37" s="7"/>
      <c r="P37" s="7"/>
      <c r="Q37" s="7"/>
      <c r="R37" s="7"/>
      <c r="S37" s="7"/>
      <c r="T37" s="7"/>
      <c r="U37" s="7"/>
      <c r="V37" s="7"/>
      <c r="W37" s="7"/>
      <c r="X37" s="7"/>
      <c r="Y37" s="7"/>
      <c r="Z37" s="7"/>
    </row>
    <row r="38" ht="14.25" customHeight="1">
      <c r="A38" s="7"/>
      <c r="B38" s="51" t="s">
        <v>64</v>
      </c>
      <c r="E38" s="8" t="s">
        <v>65</v>
      </c>
      <c r="N38" s="7"/>
      <c r="O38" s="7"/>
      <c r="P38" s="7"/>
      <c r="Q38" s="7"/>
      <c r="R38" s="7"/>
      <c r="S38" s="7"/>
      <c r="T38" s="7"/>
      <c r="U38" s="7"/>
      <c r="V38" s="7"/>
      <c r="W38" s="7"/>
      <c r="X38" s="7"/>
      <c r="Y38" s="7"/>
      <c r="Z38" s="7"/>
    </row>
    <row r="39" ht="14.25" customHeight="1">
      <c r="A39" s="7"/>
      <c r="B39" s="82">
        <f>'Matrix - Part 2'!I28</f>
        <v>0</v>
      </c>
      <c r="E39" s="83" t="str">
        <f>VLOOKUP(B39,'Matrix - Part 2'!A33:B62,2,FALSE)</f>
        <v>#N/A</v>
      </c>
      <c r="F39" s="84"/>
      <c r="G39" s="84"/>
      <c r="H39" s="84"/>
      <c r="I39" s="84"/>
      <c r="J39" s="84"/>
      <c r="K39" s="84"/>
      <c r="L39" s="84"/>
      <c r="M39" s="85"/>
      <c r="N39" s="7"/>
      <c r="O39" s="7"/>
      <c r="P39" s="7"/>
      <c r="Q39" s="7"/>
      <c r="R39" s="7"/>
      <c r="S39" s="7"/>
      <c r="T39" s="7"/>
      <c r="U39" s="7"/>
      <c r="V39" s="7"/>
      <c r="W39" s="7"/>
      <c r="X39" s="7"/>
      <c r="Y39" s="7"/>
      <c r="Z39" s="7"/>
    </row>
    <row r="40" ht="14.25" customHeight="1">
      <c r="A40" s="7"/>
      <c r="E40" s="86"/>
      <c r="M40" s="87"/>
      <c r="N40" s="7"/>
      <c r="O40" s="7"/>
      <c r="P40" s="7"/>
      <c r="Q40" s="7"/>
      <c r="R40" s="7"/>
      <c r="S40" s="7"/>
      <c r="T40" s="7"/>
      <c r="U40" s="7"/>
      <c r="V40" s="7"/>
      <c r="W40" s="7"/>
      <c r="X40" s="7"/>
      <c r="Y40" s="7"/>
      <c r="Z40" s="7"/>
    </row>
    <row r="41" ht="14.25" customHeight="1">
      <c r="A41" s="7"/>
      <c r="E41" s="88"/>
      <c r="F41" s="89"/>
      <c r="G41" s="89"/>
      <c r="H41" s="89"/>
      <c r="I41" s="89"/>
      <c r="J41" s="89"/>
      <c r="K41" s="89"/>
      <c r="L41" s="89"/>
      <c r="M41" s="90"/>
      <c r="N41" s="7"/>
      <c r="O41" s="7"/>
      <c r="P41" s="7"/>
      <c r="Q41" s="7"/>
      <c r="R41" s="7"/>
      <c r="S41" s="7"/>
      <c r="T41" s="7"/>
      <c r="U41" s="7"/>
      <c r="V41" s="7"/>
      <c r="W41" s="7"/>
      <c r="X41" s="7"/>
      <c r="Y41" s="7"/>
      <c r="Z41" s="7"/>
    </row>
    <row r="42" ht="14.25" customHeight="1">
      <c r="A42" s="7"/>
      <c r="B42" s="7"/>
      <c r="C42" s="7"/>
      <c r="D42" s="7"/>
      <c r="E42" s="7"/>
      <c r="F42" s="7"/>
      <c r="G42" s="7"/>
      <c r="H42" s="7"/>
      <c r="I42" s="7"/>
      <c r="J42" s="7"/>
      <c r="K42" s="7"/>
      <c r="L42" s="7"/>
      <c r="M42" s="7"/>
      <c r="N42" s="7"/>
      <c r="O42" s="7"/>
      <c r="P42" s="7"/>
      <c r="Q42" s="7"/>
      <c r="R42" s="7"/>
      <c r="S42" s="7"/>
      <c r="T42" s="7"/>
      <c r="U42" s="7"/>
      <c r="V42" s="7"/>
      <c r="W42" s="7"/>
      <c r="X42" s="7"/>
      <c r="Y42" s="7"/>
      <c r="Z42" s="7"/>
    </row>
    <row r="43" ht="14.25" customHeight="1">
      <c r="A43" s="7"/>
      <c r="B43" s="91" t="s">
        <v>66</v>
      </c>
      <c r="C43" s="14"/>
      <c r="D43" s="14"/>
      <c r="E43" s="15"/>
      <c r="F43" s="92" t="s">
        <v>67</v>
      </c>
      <c r="G43" s="14"/>
      <c r="H43" s="14"/>
      <c r="I43" s="15"/>
      <c r="J43" s="93" t="s">
        <v>68</v>
      </c>
      <c r="K43" s="14"/>
      <c r="L43" s="14"/>
      <c r="M43" s="15"/>
      <c r="N43" s="7"/>
      <c r="O43" s="7"/>
      <c r="P43" s="7"/>
      <c r="Q43" s="7"/>
      <c r="R43" s="7"/>
      <c r="S43" s="7"/>
      <c r="T43" s="7"/>
      <c r="U43" s="7"/>
      <c r="V43" s="7"/>
      <c r="W43" s="7"/>
      <c r="X43" s="7"/>
      <c r="Y43" s="7"/>
      <c r="Z43" s="7"/>
    </row>
    <row r="44" ht="15.0" customHeight="1">
      <c r="A44" s="7"/>
      <c r="B44" s="94" t="str">
        <f>CLEAN(IFERROR(VLOOKUP('Matrix - Part 2'!I5,'Matrix - Part 2'!G6:H6,2,FALSE),"")&amp;CHAR(10)&amp;""&amp;CHAR(10)&amp;IFERROR(VLOOKUP('Matrix - Part 2'!I10,'Matrix - Part 2'!G12:H12,2,FALSE),"")&amp;CHAR(10)&amp;""&amp;CHAR(10)&amp;IFERROR(VLOOKUP('Matrix - Part 2'!#REF!,'Matrix - Part 2'!#REF!,2,FALSE),"")&amp;CHAR(10)&amp;""&amp;IFERROR(VLOOKUP('Matrix - Part 2'!I23,'Matrix - Part 2'!G24:H24,2,FALSE),""))</f>
        <v>#ERROR!</v>
      </c>
      <c r="C44" s="95"/>
      <c r="D44" s="95"/>
      <c r="E44" s="96"/>
      <c r="F44" s="94" t="str">
        <f>CLEAN(IFERROR(VLOOKUP('Matrix - Part 2'!I10,'Matrix - Part 2'!G11:H11,2,FALSE),"")&amp;CHAR(10)&amp;""&amp;CHAR(10)&amp;IFERROR(VLOOKUP('Matrix - Part 2'!#REF!,'Matrix - Part 2'!#REF!,2,FALSE),"")&amp;CHAR(10)&amp;""&amp;CHAR(10)&amp;IFERROR(VLOOKUP('Matrix - Part 2'!I16,'Matrix - Part 2'!G17:H17,2,FALSE),"")&amp;CHAR(10)&amp;""&amp;CHAR(10)&amp;IFERROR(VLOOKUP('Matrix - Part 2'!I23,'Matrix - Part 2'!G23:H23,2,FALSE),"")&amp;IFERROR(VLOOKUP('Answer Sheet'!E16,'Matrix - Part 2'!F17:H20,3,FALSE),"")&amp;CHAR(10)&amp;IFERROR(VLOOKUP('Answer Sheet'!F16,'Matrix - Part 2'!F17:H20,3,FALSE),"")&amp;CHAR(10)&amp;IFERROR(VLOOKUP('Answer Sheet'!G16,'Matrix - Part 2'!F17:H20,3,FALSE),"")&amp;CHAR(10)&amp;IFERROR(VLOOKUP('Answer Sheet'!H16,'Matrix - Part 2'!F17:H20,3,FALSE),""))</f>
        <v>#ERROR!</v>
      </c>
      <c r="G44" s="95"/>
      <c r="H44" s="95"/>
      <c r="I44" s="96"/>
      <c r="J44" s="94" t="str">
        <f>IFERROR(VLOOKUP('Matrix - Part 2'!I5,'Matrix - Part 2'!G5:H5,2,FALSE),"")</f>
        <v/>
      </c>
      <c r="K44" s="95"/>
      <c r="L44" s="95"/>
      <c r="M44" s="96"/>
      <c r="N44" s="7"/>
      <c r="O44" s="7"/>
      <c r="P44" s="7"/>
      <c r="Q44" s="7"/>
      <c r="R44" s="7"/>
      <c r="S44" s="7"/>
      <c r="T44" s="7"/>
      <c r="U44" s="7"/>
      <c r="V44" s="7"/>
      <c r="W44" s="7"/>
      <c r="X44" s="7"/>
      <c r="Y44" s="7"/>
      <c r="Z44" s="7"/>
    </row>
    <row r="45" ht="14.25" customHeight="1">
      <c r="A45" s="7"/>
      <c r="B45" s="97"/>
      <c r="E45" s="67"/>
      <c r="F45" s="97"/>
      <c r="I45" s="67"/>
      <c r="J45" s="97"/>
      <c r="M45" s="67"/>
      <c r="N45" s="7"/>
      <c r="O45" s="7"/>
      <c r="P45" s="7"/>
      <c r="Q45" s="7"/>
      <c r="R45" s="7"/>
      <c r="S45" s="7"/>
      <c r="T45" s="7"/>
      <c r="U45" s="7"/>
      <c r="V45" s="7"/>
      <c r="W45" s="7"/>
      <c r="X45" s="7"/>
      <c r="Y45" s="7"/>
      <c r="Z45" s="7"/>
    </row>
    <row r="46" ht="14.25" customHeight="1">
      <c r="A46" s="7"/>
      <c r="B46" s="97"/>
      <c r="E46" s="67"/>
      <c r="F46" s="97"/>
      <c r="I46" s="67"/>
      <c r="J46" s="97"/>
      <c r="M46" s="67"/>
      <c r="N46" s="7"/>
      <c r="O46" s="7"/>
      <c r="P46" s="7"/>
      <c r="Q46" s="7"/>
      <c r="R46" s="7"/>
      <c r="S46" s="7"/>
      <c r="T46" s="7"/>
      <c r="U46" s="7"/>
      <c r="V46" s="7"/>
      <c r="W46" s="7"/>
      <c r="X46" s="7"/>
      <c r="Y46" s="7"/>
      <c r="Z46" s="7"/>
    </row>
    <row r="47" ht="14.25" customHeight="1">
      <c r="A47" s="7"/>
      <c r="B47" s="97"/>
      <c r="E47" s="67"/>
      <c r="F47" s="97"/>
      <c r="I47" s="67"/>
      <c r="J47" s="97"/>
      <c r="M47" s="67"/>
      <c r="N47" s="7"/>
      <c r="O47" s="7"/>
      <c r="P47" s="7"/>
      <c r="Q47" s="7"/>
      <c r="R47" s="7"/>
      <c r="S47" s="7"/>
      <c r="T47" s="7"/>
      <c r="U47" s="7"/>
      <c r="V47" s="7"/>
      <c r="W47" s="7"/>
      <c r="X47" s="7"/>
      <c r="Y47" s="7"/>
      <c r="Z47" s="7"/>
    </row>
    <row r="48" ht="14.25" customHeight="1">
      <c r="A48" s="7"/>
      <c r="B48" s="97"/>
      <c r="E48" s="67"/>
      <c r="F48" s="97"/>
      <c r="I48" s="67"/>
      <c r="J48" s="97"/>
      <c r="M48" s="67"/>
      <c r="N48" s="7"/>
      <c r="O48" s="7"/>
      <c r="P48" s="7"/>
      <c r="Q48" s="7"/>
      <c r="R48" s="7"/>
      <c r="S48" s="7"/>
      <c r="T48" s="7"/>
      <c r="U48" s="7"/>
      <c r="V48" s="7"/>
      <c r="W48" s="7"/>
      <c r="X48" s="7"/>
      <c r="Y48" s="7"/>
      <c r="Z48" s="7"/>
    </row>
    <row r="49" ht="14.25" customHeight="1">
      <c r="A49" s="7"/>
      <c r="B49" s="97"/>
      <c r="E49" s="67"/>
      <c r="F49" s="97"/>
      <c r="I49" s="67"/>
      <c r="J49" s="97"/>
      <c r="M49" s="67"/>
      <c r="N49" s="7"/>
      <c r="O49" s="7"/>
      <c r="P49" s="7"/>
      <c r="Q49" s="7"/>
      <c r="R49" s="7"/>
      <c r="S49" s="7"/>
      <c r="T49" s="7"/>
      <c r="U49" s="7"/>
      <c r="V49" s="7"/>
      <c r="W49" s="7"/>
      <c r="X49" s="7"/>
      <c r="Y49" s="7"/>
      <c r="Z49" s="7"/>
    </row>
    <row r="50" ht="14.25" customHeight="1">
      <c r="A50" s="7"/>
      <c r="B50" s="97"/>
      <c r="E50" s="67"/>
      <c r="F50" s="97"/>
      <c r="I50" s="67"/>
      <c r="J50" s="97"/>
      <c r="M50" s="67"/>
      <c r="N50" s="7"/>
      <c r="O50" s="7"/>
      <c r="P50" s="7"/>
      <c r="Q50" s="7"/>
      <c r="R50" s="7"/>
      <c r="S50" s="7"/>
      <c r="T50" s="7"/>
      <c r="U50" s="7"/>
      <c r="V50" s="7"/>
      <c r="W50" s="7"/>
      <c r="X50" s="7"/>
      <c r="Y50" s="7"/>
      <c r="Z50" s="7"/>
    </row>
    <row r="51" ht="14.25" customHeight="1">
      <c r="A51" s="7"/>
      <c r="B51" s="97"/>
      <c r="E51" s="67"/>
      <c r="F51" s="97"/>
      <c r="I51" s="67"/>
      <c r="J51" s="97"/>
      <c r="M51" s="67"/>
      <c r="N51" s="7"/>
      <c r="O51" s="7"/>
      <c r="P51" s="7"/>
      <c r="Q51" s="7"/>
      <c r="R51" s="7"/>
      <c r="S51" s="7"/>
      <c r="T51" s="7"/>
      <c r="U51" s="7"/>
      <c r="V51" s="7"/>
      <c r="W51" s="7"/>
      <c r="X51" s="7"/>
      <c r="Y51" s="7"/>
      <c r="Z51" s="7"/>
    </row>
    <row r="52" ht="14.25" customHeight="1">
      <c r="A52" s="7"/>
      <c r="B52" s="97"/>
      <c r="E52" s="67"/>
      <c r="F52" s="97"/>
      <c r="I52" s="67"/>
      <c r="J52" s="97"/>
      <c r="M52" s="67"/>
      <c r="N52" s="7"/>
      <c r="O52" s="7"/>
      <c r="P52" s="7"/>
      <c r="Q52" s="7"/>
      <c r="R52" s="7"/>
      <c r="S52" s="7"/>
      <c r="T52" s="7"/>
      <c r="U52" s="7"/>
      <c r="V52" s="7"/>
      <c r="W52" s="7"/>
      <c r="X52" s="7"/>
      <c r="Y52" s="7"/>
      <c r="Z52" s="7"/>
    </row>
    <row r="53" ht="14.25" customHeight="1">
      <c r="A53" s="7"/>
      <c r="B53" s="97"/>
      <c r="E53" s="67"/>
      <c r="F53" s="97"/>
      <c r="I53" s="67"/>
      <c r="J53" s="97"/>
      <c r="M53" s="67"/>
      <c r="N53" s="7"/>
      <c r="O53" s="7"/>
      <c r="P53" s="7"/>
      <c r="Q53" s="7"/>
      <c r="R53" s="7"/>
      <c r="S53" s="7"/>
      <c r="T53" s="7"/>
      <c r="U53" s="7"/>
      <c r="V53" s="7"/>
      <c r="W53" s="7"/>
      <c r="X53" s="7"/>
      <c r="Y53" s="7"/>
      <c r="Z53" s="7"/>
    </row>
    <row r="54" ht="14.25" customHeight="1">
      <c r="A54" s="7"/>
      <c r="B54" s="97"/>
      <c r="E54" s="67"/>
      <c r="F54" s="97"/>
      <c r="I54" s="67"/>
      <c r="J54" s="97"/>
      <c r="M54" s="67"/>
      <c r="N54" s="7"/>
      <c r="O54" s="7"/>
      <c r="P54" s="7"/>
      <c r="Q54" s="7"/>
      <c r="R54" s="7"/>
      <c r="S54" s="7"/>
      <c r="T54" s="7"/>
      <c r="U54" s="7"/>
      <c r="V54" s="7"/>
      <c r="W54" s="7"/>
      <c r="X54" s="7"/>
      <c r="Y54" s="7"/>
      <c r="Z54" s="7"/>
    </row>
    <row r="55" ht="14.25" customHeight="1">
      <c r="A55" s="7"/>
      <c r="B55" s="97"/>
      <c r="E55" s="67"/>
      <c r="F55" s="97"/>
      <c r="I55" s="67"/>
      <c r="J55" s="97"/>
      <c r="M55" s="67"/>
      <c r="N55" s="7"/>
      <c r="O55" s="7"/>
      <c r="P55" s="7"/>
      <c r="Q55" s="7"/>
      <c r="R55" s="7"/>
      <c r="S55" s="7"/>
      <c r="T55" s="7"/>
      <c r="U55" s="7"/>
      <c r="V55" s="7"/>
      <c r="W55" s="7"/>
      <c r="X55" s="7"/>
      <c r="Y55" s="7"/>
      <c r="Z55" s="7"/>
    </row>
    <row r="56" ht="14.25" customHeight="1">
      <c r="A56" s="7"/>
      <c r="B56" s="97"/>
      <c r="E56" s="67"/>
      <c r="F56" s="97"/>
      <c r="I56" s="67"/>
      <c r="J56" s="97"/>
      <c r="M56" s="67"/>
      <c r="N56" s="7"/>
      <c r="O56" s="7"/>
      <c r="P56" s="7"/>
      <c r="Q56" s="7"/>
      <c r="R56" s="7"/>
      <c r="S56" s="7"/>
      <c r="T56" s="7"/>
      <c r="U56" s="7"/>
      <c r="V56" s="7"/>
      <c r="W56" s="7"/>
      <c r="X56" s="7"/>
      <c r="Y56" s="7"/>
      <c r="Z56" s="7"/>
    </row>
    <row r="57" ht="14.25" customHeight="1">
      <c r="A57" s="7"/>
      <c r="B57" s="97"/>
      <c r="E57" s="67"/>
      <c r="F57" s="97"/>
      <c r="I57" s="67"/>
      <c r="J57" s="97"/>
      <c r="M57" s="67"/>
      <c r="N57" s="7"/>
      <c r="O57" s="7"/>
      <c r="P57" s="7"/>
      <c r="Q57" s="7"/>
      <c r="R57" s="7"/>
      <c r="S57" s="7"/>
      <c r="T57" s="7"/>
      <c r="U57" s="7"/>
      <c r="V57" s="7"/>
      <c r="W57" s="7"/>
      <c r="X57" s="7"/>
      <c r="Y57" s="7"/>
      <c r="Z57" s="7"/>
    </row>
    <row r="58" ht="14.25" customHeight="1">
      <c r="A58" s="7"/>
      <c r="B58" s="97"/>
      <c r="E58" s="67"/>
      <c r="F58" s="97"/>
      <c r="I58" s="67"/>
      <c r="J58" s="97"/>
      <c r="M58" s="67"/>
      <c r="N58" s="7"/>
      <c r="O58" s="7"/>
      <c r="P58" s="7"/>
      <c r="Q58" s="7"/>
      <c r="R58" s="7"/>
      <c r="S58" s="7"/>
      <c r="T58" s="7"/>
      <c r="U58" s="7"/>
      <c r="V58" s="7"/>
      <c r="W58" s="7"/>
      <c r="X58" s="7"/>
      <c r="Y58" s="7"/>
      <c r="Z58" s="7"/>
    </row>
    <row r="59" ht="14.25" customHeight="1">
      <c r="A59" s="7"/>
      <c r="B59" s="97"/>
      <c r="E59" s="67"/>
      <c r="F59" s="97"/>
      <c r="I59" s="67"/>
      <c r="J59" s="97"/>
      <c r="M59" s="67"/>
      <c r="N59" s="7"/>
      <c r="O59" s="7"/>
      <c r="P59" s="7"/>
      <c r="Q59" s="7"/>
      <c r="R59" s="7"/>
      <c r="S59" s="7"/>
      <c r="T59" s="7"/>
      <c r="U59" s="7"/>
      <c r="V59" s="7"/>
      <c r="W59" s="7"/>
      <c r="X59" s="7"/>
      <c r="Y59" s="7"/>
      <c r="Z59" s="7"/>
    </row>
    <row r="60" ht="14.25" customHeight="1">
      <c r="A60" s="7"/>
      <c r="B60" s="97"/>
      <c r="E60" s="67"/>
      <c r="F60" s="97"/>
      <c r="I60" s="67"/>
      <c r="J60" s="97"/>
      <c r="M60" s="67"/>
      <c r="N60" s="7"/>
      <c r="O60" s="7"/>
      <c r="P60" s="7"/>
      <c r="Q60" s="7"/>
      <c r="R60" s="7"/>
      <c r="S60" s="7"/>
      <c r="T60" s="7"/>
      <c r="U60" s="7"/>
      <c r="V60" s="7"/>
      <c r="W60" s="7"/>
      <c r="X60" s="7"/>
      <c r="Y60" s="7"/>
      <c r="Z60" s="7"/>
    </row>
    <row r="61" ht="14.25" customHeight="1">
      <c r="A61" s="7"/>
      <c r="B61" s="97"/>
      <c r="E61" s="67"/>
      <c r="F61" s="97"/>
      <c r="I61" s="67"/>
      <c r="J61" s="97"/>
      <c r="M61" s="67"/>
      <c r="N61" s="7"/>
      <c r="O61" s="7"/>
      <c r="P61" s="7"/>
      <c r="Q61" s="7"/>
      <c r="R61" s="7"/>
      <c r="S61" s="7"/>
      <c r="T61" s="7"/>
      <c r="U61" s="7"/>
      <c r="V61" s="7"/>
      <c r="W61" s="7"/>
      <c r="X61" s="7"/>
      <c r="Y61" s="7"/>
      <c r="Z61" s="7"/>
    </row>
    <row r="62" ht="14.25" customHeight="1">
      <c r="A62" s="7"/>
      <c r="B62" s="98"/>
      <c r="C62" s="89"/>
      <c r="D62" s="89"/>
      <c r="E62" s="99"/>
      <c r="F62" s="98"/>
      <c r="G62" s="89"/>
      <c r="H62" s="89"/>
      <c r="I62" s="99"/>
      <c r="J62" s="98"/>
      <c r="K62" s="89"/>
      <c r="L62" s="89"/>
      <c r="M62" s="99"/>
      <c r="N62" s="7"/>
      <c r="O62" s="7"/>
      <c r="P62" s="7"/>
      <c r="Q62" s="7"/>
      <c r="R62" s="7"/>
      <c r="S62" s="7"/>
      <c r="T62" s="7"/>
      <c r="U62" s="7"/>
      <c r="V62" s="7"/>
      <c r="W62" s="7"/>
      <c r="X62" s="7"/>
      <c r="Y62" s="7"/>
      <c r="Z62" s="7"/>
    </row>
    <row r="63" ht="14.25" customHeight="1">
      <c r="A63" s="7"/>
      <c r="B63" s="100" t="s">
        <v>69</v>
      </c>
      <c r="M63" s="67"/>
      <c r="N63" s="7"/>
      <c r="O63" s="7"/>
      <c r="P63" s="7"/>
      <c r="Q63" s="7"/>
      <c r="R63" s="7"/>
      <c r="S63" s="7"/>
      <c r="T63" s="7"/>
      <c r="U63" s="7"/>
      <c r="V63" s="7"/>
      <c r="W63" s="7"/>
      <c r="X63" s="7"/>
      <c r="Y63" s="7"/>
      <c r="Z63" s="7"/>
    </row>
    <row r="64" ht="14.25" customHeight="1">
      <c r="A64" s="7"/>
      <c r="B64" s="97"/>
      <c r="M64" s="67"/>
      <c r="N64" s="7"/>
      <c r="O64" s="7"/>
      <c r="P64" s="7"/>
      <c r="Q64" s="7"/>
      <c r="R64" s="7"/>
      <c r="S64" s="7"/>
      <c r="T64" s="7"/>
      <c r="U64" s="7"/>
      <c r="V64" s="7"/>
      <c r="W64" s="7"/>
      <c r="X64" s="7"/>
      <c r="Y64" s="7"/>
      <c r="Z64" s="7"/>
    </row>
    <row r="65" ht="14.25" customHeight="1">
      <c r="A65" s="7"/>
      <c r="B65" s="97"/>
      <c r="M65" s="67"/>
      <c r="N65" s="7"/>
      <c r="O65" s="7"/>
      <c r="P65" s="7"/>
      <c r="Q65" s="7"/>
      <c r="R65" s="7"/>
      <c r="S65" s="7"/>
      <c r="T65" s="7"/>
      <c r="U65" s="7"/>
      <c r="V65" s="7"/>
      <c r="W65" s="7"/>
      <c r="X65" s="7"/>
      <c r="Y65" s="7"/>
      <c r="Z65" s="7"/>
    </row>
    <row r="66" ht="14.25" customHeight="1">
      <c r="A66" s="7"/>
      <c r="B66" s="97"/>
      <c r="M66" s="67"/>
      <c r="N66" s="7"/>
      <c r="O66" s="7"/>
      <c r="P66" s="7"/>
      <c r="Q66" s="7"/>
      <c r="R66" s="7"/>
      <c r="S66" s="7"/>
      <c r="T66" s="7"/>
      <c r="U66" s="7"/>
      <c r="V66" s="7"/>
      <c r="W66" s="7"/>
      <c r="X66" s="7"/>
      <c r="Y66" s="7"/>
      <c r="Z66" s="7"/>
    </row>
    <row r="67" ht="23.25" customHeight="1">
      <c r="A67" s="7"/>
      <c r="B67" s="101"/>
      <c r="C67" s="101"/>
      <c r="D67" s="101"/>
      <c r="E67" s="101"/>
      <c r="F67" s="101"/>
      <c r="G67" s="101"/>
      <c r="H67" s="2" t="s">
        <v>70</v>
      </c>
      <c r="N67" s="7"/>
      <c r="O67" s="7"/>
      <c r="P67" s="7"/>
      <c r="Q67" s="7"/>
      <c r="R67" s="7"/>
      <c r="S67" s="7"/>
      <c r="T67" s="7"/>
      <c r="U67" s="7"/>
      <c r="V67" s="7"/>
      <c r="W67" s="7"/>
      <c r="X67" s="7"/>
      <c r="Y67" s="7"/>
      <c r="Z67" s="7"/>
    </row>
    <row r="68" ht="14.25" customHeight="1">
      <c r="A68" s="7"/>
      <c r="B68" s="7"/>
      <c r="C68" s="7"/>
      <c r="D68" s="7"/>
      <c r="E68" s="7"/>
      <c r="F68" s="7"/>
      <c r="G68" s="7"/>
      <c r="N68" s="7"/>
      <c r="O68" s="7"/>
      <c r="P68" s="7"/>
      <c r="Q68" s="7"/>
      <c r="R68" s="7"/>
      <c r="S68" s="7"/>
      <c r="T68" s="7"/>
      <c r="U68" s="7"/>
      <c r="V68" s="7"/>
      <c r="W68" s="7"/>
      <c r="X68" s="7"/>
      <c r="Y68" s="7"/>
      <c r="Z68" s="7"/>
    </row>
    <row r="69" ht="14.25" customHeight="1">
      <c r="A69" s="7"/>
      <c r="B69" s="7"/>
      <c r="C69" s="7"/>
      <c r="D69" s="7"/>
      <c r="E69" s="7"/>
      <c r="F69" s="7"/>
      <c r="G69" s="7"/>
      <c r="N69" s="7"/>
      <c r="O69" s="7"/>
      <c r="P69" s="7"/>
      <c r="Q69" s="7"/>
      <c r="R69" s="7"/>
      <c r="S69" s="7"/>
      <c r="T69" s="7"/>
      <c r="U69" s="7"/>
      <c r="V69" s="7"/>
      <c r="W69" s="7"/>
      <c r="X69" s="7"/>
      <c r="Y69" s="7"/>
      <c r="Z69" s="7"/>
    </row>
    <row r="70" ht="14.25" customHeight="1">
      <c r="A70" s="7"/>
      <c r="B70" s="7"/>
      <c r="C70" s="7"/>
      <c r="D70" s="7"/>
      <c r="E70" s="7"/>
      <c r="F70" s="7"/>
      <c r="G70" s="7"/>
      <c r="H70" s="7"/>
      <c r="I70" s="7"/>
      <c r="J70" s="7"/>
      <c r="K70" s="7"/>
      <c r="L70" s="7"/>
      <c r="M70" s="7"/>
      <c r="N70" s="7"/>
      <c r="O70" s="7"/>
      <c r="P70" s="7"/>
      <c r="Q70" s="7"/>
      <c r="R70" s="7"/>
      <c r="S70" s="7"/>
      <c r="T70" s="7"/>
      <c r="U70" s="7"/>
      <c r="V70" s="7"/>
      <c r="W70" s="7"/>
      <c r="X70" s="7"/>
      <c r="Y70" s="7"/>
      <c r="Z70" s="7"/>
    </row>
    <row r="71" ht="14.25" customHeight="1">
      <c r="A71" s="7"/>
      <c r="B71" s="51" t="s">
        <v>64</v>
      </c>
      <c r="E71" s="8" t="s">
        <v>65</v>
      </c>
      <c r="N71" s="7"/>
      <c r="O71" s="7"/>
      <c r="P71" s="7"/>
      <c r="Q71" s="7"/>
      <c r="R71" s="7"/>
      <c r="S71" s="7"/>
      <c r="T71" s="7"/>
      <c r="U71" s="7"/>
      <c r="V71" s="7"/>
      <c r="W71" s="7"/>
      <c r="X71" s="7"/>
      <c r="Y71" s="7"/>
      <c r="Z71" s="7"/>
    </row>
    <row r="72" ht="14.25" customHeight="1">
      <c r="A72" s="7"/>
      <c r="B72" s="82">
        <f>'Matrix - Part 3'!I26</f>
        <v>0</v>
      </c>
      <c r="E72" s="83" t="str">
        <f>VLOOKUP(B72,'Matrix - Part 3'!A31:B60,2,FALSE)</f>
        <v>#N/A</v>
      </c>
      <c r="F72" s="84"/>
      <c r="G72" s="84"/>
      <c r="H72" s="84"/>
      <c r="I72" s="84"/>
      <c r="J72" s="84"/>
      <c r="K72" s="84"/>
      <c r="L72" s="84"/>
      <c r="M72" s="85"/>
      <c r="N72" s="7"/>
      <c r="O72" s="7"/>
      <c r="P72" s="7"/>
      <c r="Q72" s="7"/>
      <c r="R72" s="7"/>
      <c r="S72" s="7"/>
      <c r="T72" s="7"/>
      <c r="U72" s="7"/>
      <c r="V72" s="7"/>
      <c r="W72" s="7"/>
      <c r="X72" s="7"/>
      <c r="Y72" s="7"/>
      <c r="Z72" s="7"/>
    </row>
    <row r="73" ht="14.25" customHeight="1">
      <c r="A73" s="7"/>
      <c r="E73" s="86"/>
      <c r="M73" s="87"/>
      <c r="N73" s="7"/>
      <c r="O73" s="7"/>
      <c r="P73" s="7"/>
      <c r="Q73" s="7"/>
      <c r="R73" s="7"/>
      <c r="S73" s="7"/>
      <c r="T73" s="7"/>
      <c r="U73" s="7"/>
      <c r="V73" s="7"/>
      <c r="W73" s="7"/>
      <c r="X73" s="7"/>
      <c r="Y73" s="7"/>
      <c r="Z73" s="7"/>
    </row>
    <row r="74" ht="14.25" customHeight="1">
      <c r="A74" s="7"/>
      <c r="E74" s="88"/>
      <c r="F74" s="89"/>
      <c r="G74" s="89"/>
      <c r="H74" s="89"/>
      <c r="I74" s="89"/>
      <c r="J74" s="89"/>
      <c r="K74" s="89"/>
      <c r="L74" s="89"/>
      <c r="M74" s="90"/>
      <c r="N74" s="7"/>
      <c r="O74" s="7"/>
      <c r="P74" s="7"/>
      <c r="Q74" s="7"/>
      <c r="R74" s="7"/>
      <c r="S74" s="7"/>
      <c r="T74" s="7"/>
      <c r="U74" s="7"/>
      <c r="V74" s="7"/>
      <c r="W74" s="7"/>
      <c r="X74" s="7"/>
      <c r="Y74" s="7"/>
      <c r="Z74" s="7"/>
    </row>
    <row r="75" ht="14.2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7"/>
      <c r="B76" s="91" t="s">
        <v>66</v>
      </c>
      <c r="C76" s="14"/>
      <c r="D76" s="14"/>
      <c r="E76" s="15"/>
      <c r="F76" s="92" t="s">
        <v>67</v>
      </c>
      <c r="G76" s="14"/>
      <c r="H76" s="14"/>
      <c r="I76" s="15"/>
      <c r="J76" s="93" t="s">
        <v>68</v>
      </c>
      <c r="K76" s="14"/>
      <c r="L76" s="14"/>
      <c r="M76" s="15"/>
      <c r="N76" s="7"/>
      <c r="O76" s="7"/>
      <c r="P76" s="7"/>
      <c r="Q76" s="7"/>
      <c r="R76" s="7"/>
      <c r="S76" s="7"/>
      <c r="T76" s="7"/>
      <c r="U76" s="7"/>
      <c r="V76" s="7"/>
      <c r="W76" s="7"/>
      <c r="X76" s="7"/>
      <c r="Y76" s="7"/>
      <c r="Z76" s="7"/>
    </row>
    <row r="77" ht="15.0" customHeight="1">
      <c r="A77" s="7"/>
      <c r="B77" s="94" t="str">
        <f>CLEAN(IFERROR(VLOOKUP('Matrix - Part 3'!I8,'Matrix - Part 3'!G9:H9,2,FALSE),"")&amp;CHAR(10)&amp;""&amp;CHAR(10)&amp;IFERROR(VLOOKUP('Matrix - Part 3'!I11,'Matrix - Part 3'!G14:H14,2,FALSE),"")&amp;CHAR(10)&amp;""&amp;CHAR(10)&amp;IFERROR(VLOOKUP('Matrix - Part 3'!I20,'Matrix - Part 3'!G23:H23,2,FALSE),""))</f>
        <v/>
      </c>
      <c r="C77" s="95"/>
      <c r="D77" s="95"/>
      <c r="E77" s="96"/>
      <c r="F77" s="94" t="str">
        <f>CLEAN(IFERROR(VLOOKUP('Matrix - Part 3'!I16,'Matrix - Part 3'!G18:H18,2,FALSE),""))</f>
        <v/>
      </c>
      <c r="G77" s="95"/>
      <c r="H77" s="95"/>
      <c r="I77" s="96"/>
      <c r="J77" s="94" t="str">
        <f>CLEAN(IFERROR(VLOOKUP('Matrix - Part 3'!I4,'Matrix - Part 3'!G5:H5,2,FALSE),"")&amp;CHAR(10)&amp;""&amp;IFERROR(IF('Matrix - Part 3'!I4=2,"",VLOOKUP('Matrix - Part 3'!I5,'Matrix - Part 3'!G6:H6,2,FALSE)),"")&amp;CHAR(10)&amp;""&amp;IFERROR(VLOOKUP('Matrix - Part 3'!I11,'Matrix - Part 3'!G13:H13,2,FALSE),"")&amp;CHAR(10)&amp;""&amp;IFERROR(VLOOKUP('Matrix - Part 3'!I20,'Matrix - Part 3'!G22:H22,2,FALSE),"")&amp;CHAR(10)&amp;IFERROR(VLOOKUP('Matrix - Part 3'!I16,'Matrix - Part 3'!G17:H17,2,FALSE),""))</f>
        <v/>
      </c>
      <c r="K77" s="95"/>
      <c r="L77" s="95"/>
      <c r="M77" s="96"/>
      <c r="N77" s="7"/>
      <c r="O77" s="7"/>
      <c r="P77" s="7"/>
      <c r="Q77" s="7"/>
      <c r="R77" s="7"/>
      <c r="S77" s="7"/>
      <c r="T77" s="7"/>
      <c r="U77" s="7"/>
      <c r="V77" s="7"/>
      <c r="W77" s="7"/>
      <c r="X77" s="7"/>
      <c r="Y77" s="7"/>
      <c r="Z77" s="7"/>
    </row>
    <row r="78" ht="14.25" customHeight="1">
      <c r="A78" s="7"/>
      <c r="B78" s="97"/>
      <c r="E78" s="67"/>
      <c r="F78" s="97"/>
      <c r="I78" s="67"/>
      <c r="J78" s="97"/>
      <c r="M78" s="67"/>
      <c r="N78" s="7"/>
      <c r="O78" s="7"/>
      <c r="P78" s="7"/>
      <c r="Q78" s="7"/>
      <c r="R78" s="7"/>
      <c r="S78" s="7"/>
      <c r="T78" s="7"/>
      <c r="U78" s="7"/>
      <c r="V78" s="7"/>
      <c r="W78" s="7"/>
      <c r="X78" s="7"/>
      <c r="Y78" s="7"/>
      <c r="Z78" s="7"/>
    </row>
    <row r="79" ht="14.25" customHeight="1">
      <c r="A79" s="7"/>
      <c r="B79" s="97"/>
      <c r="E79" s="67"/>
      <c r="F79" s="97"/>
      <c r="I79" s="67"/>
      <c r="J79" s="97"/>
      <c r="M79" s="67"/>
      <c r="N79" s="7"/>
      <c r="O79" s="7"/>
      <c r="P79" s="7"/>
      <c r="Q79" s="7"/>
      <c r="R79" s="7"/>
      <c r="S79" s="7"/>
      <c r="T79" s="7"/>
      <c r="U79" s="7"/>
      <c r="V79" s="7"/>
      <c r="W79" s="7"/>
      <c r="X79" s="7"/>
      <c r="Y79" s="7"/>
      <c r="Z79" s="7"/>
    </row>
    <row r="80" ht="14.25" customHeight="1">
      <c r="A80" s="7"/>
      <c r="B80" s="97"/>
      <c r="E80" s="67"/>
      <c r="F80" s="97"/>
      <c r="I80" s="67"/>
      <c r="J80" s="97"/>
      <c r="M80" s="67"/>
      <c r="N80" s="7"/>
      <c r="O80" s="7"/>
      <c r="P80" s="7"/>
      <c r="Q80" s="7"/>
      <c r="R80" s="7"/>
      <c r="S80" s="7"/>
      <c r="T80" s="7"/>
      <c r="U80" s="7"/>
      <c r="V80" s="7"/>
      <c r="W80" s="7"/>
      <c r="X80" s="7"/>
      <c r="Y80" s="7"/>
      <c r="Z80" s="7"/>
    </row>
    <row r="81" ht="14.25" customHeight="1">
      <c r="A81" s="7"/>
      <c r="B81" s="97"/>
      <c r="E81" s="67"/>
      <c r="F81" s="97"/>
      <c r="I81" s="67"/>
      <c r="J81" s="97"/>
      <c r="M81" s="67"/>
      <c r="N81" s="7"/>
      <c r="O81" s="7"/>
      <c r="P81" s="7"/>
      <c r="Q81" s="7"/>
      <c r="R81" s="7"/>
      <c r="S81" s="7"/>
      <c r="T81" s="7"/>
      <c r="U81" s="7"/>
      <c r="V81" s="7"/>
      <c r="W81" s="7"/>
      <c r="X81" s="7"/>
      <c r="Y81" s="7"/>
      <c r="Z81" s="7"/>
    </row>
    <row r="82" ht="14.25" customHeight="1">
      <c r="A82" s="7"/>
      <c r="B82" s="97"/>
      <c r="E82" s="67"/>
      <c r="F82" s="97"/>
      <c r="I82" s="67"/>
      <c r="J82" s="97"/>
      <c r="M82" s="67"/>
      <c r="N82" s="7"/>
      <c r="O82" s="7"/>
      <c r="P82" s="7"/>
      <c r="Q82" s="7"/>
      <c r="R82" s="7"/>
      <c r="S82" s="7"/>
      <c r="T82" s="7"/>
      <c r="U82" s="7"/>
      <c r="V82" s="7"/>
      <c r="W82" s="7"/>
      <c r="X82" s="7"/>
      <c r="Y82" s="7"/>
      <c r="Z82" s="7"/>
    </row>
    <row r="83" ht="14.25" customHeight="1">
      <c r="A83" s="7"/>
      <c r="B83" s="97"/>
      <c r="E83" s="67"/>
      <c r="F83" s="97"/>
      <c r="I83" s="67"/>
      <c r="J83" s="97"/>
      <c r="M83" s="67"/>
      <c r="N83" s="7"/>
      <c r="O83" s="7"/>
      <c r="P83" s="7"/>
      <c r="Q83" s="7"/>
      <c r="R83" s="7"/>
      <c r="S83" s="7"/>
      <c r="T83" s="7"/>
      <c r="U83" s="7"/>
      <c r="V83" s="7"/>
      <c r="W83" s="7"/>
      <c r="X83" s="7"/>
      <c r="Y83" s="7"/>
      <c r="Z83" s="7"/>
    </row>
    <row r="84" ht="14.25" customHeight="1">
      <c r="A84" s="7"/>
      <c r="B84" s="97"/>
      <c r="E84" s="67"/>
      <c r="F84" s="97"/>
      <c r="I84" s="67"/>
      <c r="J84" s="97"/>
      <c r="M84" s="67"/>
      <c r="N84" s="7"/>
      <c r="O84" s="7"/>
      <c r="P84" s="7"/>
      <c r="Q84" s="7"/>
      <c r="R84" s="7"/>
      <c r="S84" s="7"/>
      <c r="T84" s="7"/>
      <c r="U84" s="7"/>
      <c r="V84" s="7"/>
      <c r="W84" s="7"/>
      <c r="X84" s="7"/>
      <c r="Y84" s="7"/>
      <c r="Z84" s="7"/>
    </row>
    <row r="85" ht="14.25" customHeight="1">
      <c r="A85" s="7"/>
      <c r="B85" s="97"/>
      <c r="E85" s="67"/>
      <c r="F85" s="97"/>
      <c r="I85" s="67"/>
      <c r="J85" s="97"/>
      <c r="M85" s="67"/>
      <c r="N85" s="7"/>
      <c r="O85" s="7"/>
      <c r="P85" s="7"/>
      <c r="Q85" s="7"/>
      <c r="R85" s="7"/>
      <c r="S85" s="7"/>
      <c r="T85" s="7"/>
      <c r="U85" s="7"/>
      <c r="V85" s="7"/>
      <c r="W85" s="7"/>
      <c r="X85" s="7"/>
      <c r="Y85" s="7"/>
      <c r="Z85" s="7"/>
    </row>
    <row r="86" ht="14.25" customHeight="1">
      <c r="A86" s="7"/>
      <c r="B86" s="97"/>
      <c r="E86" s="67"/>
      <c r="F86" s="97"/>
      <c r="I86" s="67"/>
      <c r="J86" s="97"/>
      <c r="M86" s="67"/>
      <c r="N86" s="7"/>
      <c r="O86" s="7"/>
      <c r="P86" s="7"/>
      <c r="Q86" s="7"/>
      <c r="R86" s="7"/>
      <c r="S86" s="7"/>
      <c r="T86" s="7"/>
      <c r="U86" s="7"/>
      <c r="V86" s="7"/>
      <c r="W86" s="7"/>
      <c r="X86" s="7"/>
      <c r="Y86" s="7"/>
      <c r="Z86" s="7"/>
    </row>
    <row r="87" ht="14.25" customHeight="1">
      <c r="A87" s="7"/>
      <c r="B87" s="97"/>
      <c r="E87" s="67"/>
      <c r="F87" s="97"/>
      <c r="I87" s="67"/>
      <c r="J87" s="97"/>
      <c r="M87" s="67"/>
      <c r="N87" s="7"/>
      <c r="O87" s="7"/>
      <c r="P87" s="7"/>
      <c r="Q87" s="7"/>
      <c r="R87" s="7"/>
      <c r="S87" s="7"/>
      <c r="T87" s="7"/>
      <c r="U87" s="7"/>
      <c r="V87" s="7"/>
      <c r="W87" s="7"/>
      <c r="X87" s="7"/>
      <c r="Y87" s="7"/>
      <c r="Z87" s="7"/>
    </row>
    <row r="88" ht="14.25" customHeight="1">
      <c r="A88" s="7"/>
      <c r="B88" s="97"/>
      <c r="E88" s="67"/>
      <c r="F88" s="97"/>
      <c r="I88" s="67"/>
      <c r="J88" s="97"/>
      <c r="M88" s="67"/>
      <c r="N88" s="7"/>
      <c r="O88" s="7"/>
      <c r="P88" s="7"/>
      <c r="Q88" s="7"/>
      <c r="R88" s="7"/>
      <c r="S88" s="7"/>
      <c r="T88" s="7"/>
      <c r="U88" s="7"/>
      <c r="V88" s="7"/>
      <c r="W88" s="7"/>
      <c r="X88" s="7"/>
      <c r="Y88" s="7"/>
      <c r="Z88" s="7"/>
    </row>
    <row r="89" ht="14.25" customHeight="1">
      <c r="A89" s="7"/>
      <c r="B89" s="97"/>
      <c r="E89" s="67"/>
      <c r="F89" s="97"/>
      <c r="I89" s="67"/>
      <c r="J89" s="97"/>
      <c r="M89" s="67"/>
      <c r="N89" s="7"/>
      <c r="O89" s="7"/>
      <c r="P89" s="7"/>
      <c r="Q89" s="7"/>
      <c r="R89" s="7"/>
      <c r="S89" s="7"/>
      <c r="T89" s="7"/>
      <c r="U89" s="7"/>
      <c r="V89" s="7"/>
      <c r="W89" s="7"/>
      <c r="X89" s="7"/>
      <c r="Y89" s="7"/>
      <c r="Z89" s="7"/>
    </row>
    <row r="90" ht="14.25" customHeight="1">
      <c r="A90" s="7"/>
      <c r="B90" s="97"/>
      <c r="E90" s="67"/>
      <c r="F90" s="97"/>
      <c r="I90" s="67"/>
      <c r="J90" s="97"/>
      <c r="M90" s="67"/>
      <c r="N90" s="7"/>
      <c r="O90" s="7"/>
      <c r="P90" s="7"/>
      <c r="Q90" s="7"/>
      <c r="R90" s="7"/>
      <c r="S90" s="7"/>
      <c r="T90" s="7"/>
      <c r="U90" s="7"/>
      <c r="V90" s="7"/>
      <c r="W90" s="7"/>
      <c r="X90" s="7"/>
      <c r="Y90" s="7"/>
      <c r="Z90" s="7"/>
    </row>
    <row r="91" ht="14.25" customHeight="1">
      <c r="A91" s="7"/>
      <c r="B91" s="97"/>
      <c r="E91" s="67"/>
      <c r="F91" s="97"/>
      <c r="I91" s="67"/>
      <c r="J91" s="97"/>
      <c r="M91" s="67"/>
      <c r="N91" s="7"/>
      <c r="O91" s="7"/>
      <c r="P91" s="7"/>
      <c r="Q91" s="7"/>
      <c r="R91" s="7"/>
      <c r="S91" s="7"/>
      <c r="T91" s="7"/>
      <c r="U91" s="7"/>
      <c r="V91" s="7"/>
      <c r="W91" s="7"/>
      <c r="X91" s="7"/>
      <c r="Y91" s="7"/>
      <c r="Z91" s="7"/>
    </row>
    <row r="92" ht="14.25" customHeight="1">
      <c r="A92" s="7"/>
      <c r="B92" s="97"/>
      <c r="E92" s="67"/>
      <c r="F92" s="97"/>
      <c r="I92" s="67"/>
      <c r="J92" s="97"/>
      <c r="M92" s="67"/>
      <c r="N92" s="7"/>
      <c r="O92" s="7"/>
      <c r="P92" s="7"/>
      <c r="Q92" s="7"/>
      <c r="R92" s="7"/>
      <c r="S92" s="7"/>
      <c r="T92" s="7"/>
      <c r="U92" s="7"/>
      <c r="V92" s="7"/>
      <c r="W92" s="7"/>
      <c r="X92" s="7"/>
      <c r="Y92" s="7"/>
      <c r="Z92" s="7"/>
    </row>
    <row r="93" ht="14.25" customHeight="1">
      <c r="A93" s="7"/>
      <c r="B93" s="97"/>
      <c r="E93" s="67"/>
      <c r="F93" s="97"/>
      <c r="I93" s="67"/>
      <c r="J93" s="97"/>
      <c r="M93" s="67"/>
      <c r="N93" s="7"/>
      <c r="O93" s="7"/>
      <c r="P93" s="7"/>
      <c r="Q93" s="7"/>
      <c r="R93" s="7"/>
      <c r="S93" s="7"/>
      <c r="T93" s="7"/>
      <c r="U93" s="7"/>
      <c r="V93" s="7"/>
      <c r="W93" s="7"/>
      <c r="X93" s="7"/>
      <c r="Y93" s="7"/>
      <c r="Z93" s="7"/>
    </row>
    <row r="94" ht="14.25" customHeight="1">
      <c r="A94" s="7"/>
      <c r="B94" s="97"/>
      <c r="E94" s="67"/>
      <c r="F94" s="97"/>
      <c r="I94" s="67"/>
      <c r="J94" s="97"/>
      <c r="M94" s="67"/>
      <c r="N94" s="7"/>
      <c r="O94" s="7"/>
      <c r="P94" s="7"/>
      <c r="Q94" s="7"/>
      <c r="R94" s="7"/>
      <c r="S94" s="7"/>
      <c r="T94" s="7"/>
      <c r="U94" s="7"/>
      <c r="V94" s="7"/>
      <c r="W94" s="7"/>
      <c r="X94" s="7"/>
      <c r="Y94" s="7"/>
      <c r="Z94" s="7"/>
    </row>
    <row r="95" ht="14.25" customHeight="1">
      <c r="A95" s="7"/>
      <c r="B95" s="98"/>
      <c r="C95" s="89"/>
      <c r="D95" s="89"/>
      <c r="E95" s="99"/>
      <c r="F95" s="98"/>
      <c r="G95" s="89"/>
      <c r="H95" s="89"/>
      <c r="I95" s="99"/>
      <c r="J95" s="98"/>
      <c r="K95" s="89"/>
      <c r="L95" s="89"/>
      <c r="M95" s="99"/>
      <c r="N95" s="7"/>
      <c r="O95" s="7"/>
      <c r="P95" s="7"/>
      <c r="Q95" s="7"/>
      <c r="R95" s="7"/>
      <c r="S95" s="7"/>
      <c r="T95" s="7"/>
      <c r="U95" s="7"/>
      <c r="V95" s="7"/>
      <c r="W95" s="7"/>
      <c r="X95" s="7"/>
      <c r="Y95" s="7"/>
      <c r="Z95" s="7"/>
    </row>
    <row r="96" ht="14.25" customHeight="1">
      <c r="A96" s="7"/>
      <c r="B96" s="100" t="s">
        <v>71</v>
      </c>
      <c r="M96" s="67"/>
      <c r="N96" s="7"/>
      <c r="O96" s="7"/>
      <c r="P96" s="7"/>
      <c r="Q96" s="7"/>
      <c r="R96" s="7"/>
      <c r="S96" s="7"/>
      <c r="T96" s="7"/>
      <c r="U96" s="7"/>
      <c r="V96" s="7"/>
      <c r="W96" s="7"/>
      <c r="X96" s="7"/>
      <c r="Y96" s="7"/>
      <c r="Z96" s="7"/>
    </row>
    <row r="97" ht="14.25" customHeight="1">
      <c r="A97" s="7"/>
      <c r="B97" s="97"/>
      <c r="M97" s="67"/>
      <c r="N97" s="7"/>
      <c r="O97" s="7"/>
      <c r="P97" s="7"/>
      <c r="Q97" s="7"/>
      <c r="R97" s="7"/>
      <c r="S97" s="7"/>
      <c r="T97" s="7"/>
      <c r="U97" s="7"/>
      <c r="V97" s="7"/>
      <c r="W97" s="7"/>
      <c r="X97" s="7"/>
      <c r="Y97" s="7"/>
      <c r="Z97" s="7"/>
    </row>
    <row r="98" ht="14.25" customHeight="1">
      <c r="A98" s="7"/>
      <c r="B98" s="97"/>
      <c r="M98" s="67"/>
      <c r="N98" s="7"/>
      <c r="O98" s="7"/>
      <c r="P98" s="7"/>
      <c r="Q98" s="7"/>
      <c r="R98" s="7"/>
      <c r="S98" s="7"/>
      <c r="T98" s="7"/>
      <c r="U98" s="7"/>
      <c r="V98" s="7"/>
      <c r="W98" s="7"/>
      <c r="X98" s="7"/>
      <c r="Y98" s="7"/>
      <c r="Z98" s="7"/>
    </row>
    <row r="99" ht="14.25" customHeight="1">
      <c r="A99" s="7"/>
      <c r="B99" s="97"/>
      <c r="M99" s="67"/>
      <c r="N99" s="7"/>
      <c r="O99" s="7"/>
      <c r="P99" s="7"/>
      <c r="Q99" s="7"/>
      <c r="R99" s="7"/>
      <c r="S99" s="7"/>
      <c r="T99" s="7"/>
      <c r="U99" s="7"/>
      <c r="V99" s="7"/>
      <c r="W99" s="7"/>
      <c r="X99" s="7"/>
      <c r="Y99" s="7"/>
      <c r="Z99" s="7"/>
    </row>
    <row r="100" ht="23.25" customHeight="1">
      <c r="A100" s="7"/>
      <c r="B100" s="7"/>
      <c r="C100" s="7"/>
      <c r="D100" s="7"/>
      <c r="E100" s="7"/>
      <c r="F100" s="7"/>
      <c r="G100" s="7"/>
      <c r="H100" s="2" t="s">
        <v>72</v>
      </c>
      <c r="N100" s="7"/>
      <c r="O100" s="7"/>
      <c r="P100" s="7"/>
      <c r="Q100" s="7"/>
      <c r="R100" s="7"/>
      <c r="S100" s="7"/>
      <c r="T100" s="7"/>
      <c r="U100" s="7"/>
      <c r="V100" s="7"/>
      <c r="W100" s="7"/>
      <c r="X100" s="7"/>
      <c r="Y100" s="7"/>
      <c r="Z100" s="7"/>
    </row>
    <row r="101" ht="14.25" customHeight="1">
      <c r="A101" s="7"/>
      <c r="B101" s="7"/>
      <c r="C101" s="7"/>
      <c r="D101" s="7"/>
      <c r="E101" s="7"/>
      <c r="F101" s="7"/>
      <c r="G101" s="7"/>
      <c r="N101" s="7"/>
      <c r="O101" s="7"/>
      <c r="P101" s="7"/>
      <c r="Q101" s="7"/>
      <c r="R101" s="7"/>
      <c r="S101" s="7"/>
      <c r="T101" s="7"/>
      <c r="U101" s="7"/>
      <c r="V101" s="7"/>
      <c r="W101" s="7"/>
      <c r="X101" s="7"/>
      <c r="Y101" s="7"/>
      <c r="Z101" s="7"/>
    </row>
    <row r="102" ht="14.25" customHeight="1">
      <c r="A102" s="7"/>
      <c r="B102" s="7"/>
      <c r="C102" s="7"/>
      <c r="D102" s="7"/>
      <c r="E102" s="7"/>
      <c r="F102" s="7"/>
      <c r="G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51" t="s">
        <v>64</v>
      </c>
      <c r="E104" s="8" t="s">
        <v>65</v>
      </c>
      <c r="N104" s="7"/>
      <c r="O104" s="7"/>
      <c r="P104" s="7"/>
      <c r="Q104" s="7"/>
      <c r="R104" s="7"/>
      <c r="S104" s="7"/>
      <c r="T104" s="7"/>
      <c r="U104" s="7"/>
      <c r="V104" s="7"/>
      <c r="W104" s="7"/>
      <c r="X104" s="7"/>
      <c r="Y104" s="7"/>
      <c r="Z104" s="7"/>
    </row>
    <row r="105" ht="14.25" customHeight="1">
      <c r="A105" s="7"/>
      <c r="B105" s="82" t="str">
        <f>'Matrix - Part 4'!I57</f>
        <v>0</v>
      </c>
      <c r="E105" s="83" t="str">
        <f>VLOOKUP(B105,'Matrix - Part 4'!A55:B84,2,FALSE)</f>
        <v>#N/A</v>
      </c>
      <c r="F105" s="84"/>
      <c r="G105" s="84"/>
      <c r="H105" s="84"/>
      <c r="I105" s="84"/>
      <c r="J105" s="84"/>
      <c r="K105" s="84"/>
      <c r="L105" s="84"/>
      <c r="M105" s="85"/>
      <c r="N105" s="7"/>
      <c r="O105" s="7"/>
      <c r="P105" s="7"/>
      <c r="Q105" s="7"/>
      <c r="R105" s="7"/>
      <c r="S105" s="7"/>
      <c r="T105" s="7"/>
      <c r="U105" s="7"/>
      <c r="V105" s="7"/>
      <c r="W105" s="7"/>
      <c r="X105" s="7"/>
      <c r="Y105" s="7"/>
      <c r="Z105" s="7"/>
    </row>
    <row r="106" ht="14.25" customHeight="1">
      <c r="A106" s="7"/>
      <c r="E106" s="86"/>
      <c r="M106" s="87"/>
      <c r="N106" s="7"/>
      <c r="O106" s="7"/>
      <c r="P106" s="7"/>
      <c r="Q106" s="7"/>
      <c r="R106" s="7"/>
      <c r="S106" s="7"/>
      <c r="T106" s="7"/>
      <c r="U106" s="7"/>
      <c r="V106" s="7"/>
      <c r="W106" s="7"/>
      <c r="X106" s="7"/>
      <c r="Y106" s="7"/>
      <c r="Z106" s="7"/>
    </row>
    <row r="107" ht="14.25" customHeight="1">
      <c r="A107" s="7"/>
      <c r="E107" s="88"/>
      <c r="F107" s="89"/>
      <c r="G107" s="89"/>
      <c r="H107" s="89"/>
      <c r="I107" s="89"/>
      <c r="J107" s="89"/>
      <c r="K107" s="89"/>
      <c r="L107" s="89"/>
      <c r="M107" s="90"/>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91" t="s">
        <v>66</v>
      </c>
      <c r="C109" s="14"/>
      <c r="D109" s="14"/>
      <c r="E109" s="15"/>
      <c r="F109" s="92" t="s">
        <v>67</v>
      </c>
      <c r="G109" s="14"/>
      <c r="H109" s="14"/>
      <c r="I109" s="15"/>
      <c r="J109" s="93" t="s">
        <v>68</v>
      </c>
      <c r="K109" s="14"/>
      <c r="L109" s="14"/>
      <c r="M109" s="15"/>
      <c r="N109" s="7"/>
      <c r="O109" s="7"/>
      <c r="P109" s="7"/>
      <c r="Q109" s="7"/>
      <c r="R109" s="7"/>
      <c r="S109" s="7"/>
      <c r="T109" s="7"/>
      <c r="U109" s="7"/>
      <c r="V109" s="7"/>
      <c r="W109" s="7"/>
      <c r="X109" s="7"/>
      <c r="Y109" s="7"/>
      <c r="Z109" s="7"/>
    </row>
    <row r="110" ht="15.0" customHeight="1">
      <c r="A110" s="7"/>
      <c r="B110" s="94" t="str">
        <f>CLEAN(IFERROR(VLOOKUP('Matrix - Part 4'!I9,'Matrix - Part 4'!G11:H11,2,FALSE),"")&amp;CHAR(10)&amp;""&amp;CHAR(10)&amp;IFERROR(VLOOKUP('Matrix - Part 4'!I18,'Matrix - Part 4'!G19:H19,2,FALSE),"")&amp;CHAR(10)&amp;""&amp;CHAR(10)&amp;IFERROR(VLOOKUP('Matrix - Part 4'!I13,'Matrix - Part 4'!G13:H13,2,FALSE),"")&amp;CHAR(10)&amp;""&amp;CHAR(10)&amp;IFERROR(VLOOKUP('Matrix - Part 4'!I14,'Matrix - Part 4'!G13:H13,2,FALSE),"")&amp;CHAR(10)&amp;""&amp;CHAR(10)&amp;IFERROR(VLOOKUP('Matrix - Part 4'!I15,'Matrix - Part 4'!G13:H13,2,FALSE),"")&amp;CHAR(10)&amp;""&amp;CHAR(10)&amp;IFERROR(VLOOKUP('Matrix - Part 4'!I27,'Matrix - Part 4'!G30:H30,2,FALSE),"")&amp;CHAR(10)&amp;""&amp;CHAR(10)&amp;IFERROR(VLOOKUP('Matrix - Part 4'!I32,'Matrix - Part 4'!G34:H34,2,FALSE),"")&amp;CHAR(10)&amp;""&amp;CHAR(10)&amp;IFERROR(VLOOKUP('Matrix - Part 4'!I33,'Matrix - Part 4'!G34:H34,2,FALSE),"")&amp;CHAR(10)&amp;""&amp;CHAR(10)&amp;IFERROR(VLOOKUP('Matrix - Part 4'!I36,'Matrix - Part 4'!G38:H38,2,FALSE),"")&amp;CHAR(10)&amp;""&amp;CHAR(10)&amp;IFERROR(VLOOKUP('Matrix - Part 4'!I40,'Matrix - Part 4'!G42:H42,2,FALSE),""))</f>
        <v/>
      </c>
      <c r="C110" s="95"/>
      <c r="D110" s="95"/>
      <c r="E110" s="96"/>
      <c r="F110" s="94" t="str">
        <f>CLEAN(IFERROR(VLOOKUP('Matrix - Part 4'!I6,'Matrix - Part 4'!G5:H7,2,FALSE),"")&amp;CHAR(10)&amp;""&amp;CHAR(10)&amp;IFERROR(VLOOKUP('Matrix - Part 4'!I7,'Matrix - Part 4'!G5:H7,2,FALSE),"")&amp;CHAR(10)&amp;""&amp;CHAR(10)&amp;IFERROR(VLOOKUP('Matrix - Part 4'!I13,'Matrix - Part 4'!G15:H15,2,FALSE),"")&amp;CHAR(10)&amp;""&amp;CHAR(10)&amp;IFERROR(VLOOKUP('Matrix - Part 4'!I14,'Matrix - Part 4'!G15:H15,2,FALSE),"")&amp;CHAR(10)&amp;""&amp;CHAR(10)&amp;IFERROR(VLOOKUP('Matrix - Part 4'!I15,'Matrix - Part 4'!G15:H15,2,FALSE),"")&amp;CHAR(10)&amp;""&amp;CHAR(10)&amp;IFERROR(VLOOKUP('Matrix - Part 4'!I22,'Matrix - Part 4'!G25:H25,2,FALSE),"")&amp;CHAR(10)&amp;""&amp;CHAR(10)&amp;IFERROR(VLOOKUP('Matrix - Part 4'!I27,'Matrix - Part 4'!G29:H29,2,FALSE),"")&amp;CHAR(10)&amp;""&amp;CHAR(10)&amp;IFERROR(VLOOKUP('Matrix - Part 4'!I36,'Matrix - Part 4'!G37:H37,2,FALSE),"")&amp;CHAR(10)&amp;IFERROR(VLOOKUP('Matrix - Part 4'!I44,'Matrix - Part 4'!G46:H46,2,FALSE),""))</f>
        <v/>
      </c>
      <c r="G110" s="95"/>
      <c r="H110" s="95"/>
      <c r="I110" s="96"/>
      <c r="J110" s="94" t="str">
        <f>CLEAN(IFERROR(VLOOKUP('Matrix - Part 4'!I5,'Matrix - Part 4'!G5:H7,2,FALSE),"")&amp;CHAR(10)&amp;""&amp;CHAR(10)&amp;IFERROR(VLOOKUP('Matrix - Part 4'!I9,'Matrix - Part 4'!G10:H10,2,FALSE),"")&amp;CHAR(10)&amp;""&amp;CHAR(10)&amp;IFERROR(VLOOKUP('Matrix - Part 4'!I18,'Matrix - Part 4'!G18:H18,2,FALSE),"")&amp;CHAR(10)&amp;""&amp;CHAR(10)&amp;IFERROR(VLOOKUP('Matrix - Part 4'!I13,'Matrix - Part 4'!G14:H14,2,FALSE),"")&amp;CHAR(10)&amp;""&amp;CHAR(10)&amp;IFERROR(VLOOKUP('Matrix - Part 4'!I14,'Matrix - Part 4'!G14:H14,2,FALSE),"")&amp;CHAR(10)&amp;""&amp;CHAR(10)&amp;IFERROR(VLOOKUP('Matrix - Part 4'!I15,'Matrix - Part 4'!G14:H14,2,FALSE),"")&amp;CHAR(10)&amp;""&amp;CHAR(10)&amp;IFERROR(VLOOKUP('Matrix - Part 4'!I22,'Matrix - Part 4'!G24:H24,2,FALSE),"")&amp;CHAR(10)&amp;""&amp;CHAR(10)&amp;IFERROR(VLOOKUP('Matrix - Part 4'!I27,'Matrix - Part 4'!G28:H28,2,FALSE),"")&amp;CHAR(10)&amp;""&amp;CHAR(10)&amp;IFERROR(VLOOKUP('Matrix - Part 4'!I32,'Matrix - Part 4'!G33:H33,2,FALSE),"")&amp;CHAR(10)&amp;""&amp;CHAR(10)&amp;IFERROR(VLOOKUP('Matrix - Part 4'!I33,'Matrix - Part 4'!G33:H33,2,FALSE),"")&amp;CHAR(10)&amp;""&amp;CHAR(10)&amp;IFERROR(VLOOKUP('Matrix - Part 4'!I34,'Matrix - Part 4'!G33:H33,2,FALSE),"")&amp;CHAR(10)&amp;""&amp;CHAR(10)&amp;IFERROR(VLOOKUP('Matrix - Part 4'!I40,'Matrix - Part 4'!G41:H41,2,FALSE),"")&amp;CHAR(10)&amp;""&amp;CHAR(10)&amp;IFERROR(VLOOKUP('Matrix - Part 4'!I44,'Matrix - Part 4'!G45:H45,2,FALSE),""))</f>
        <v/>
      </c>
      <c r="K110" s="95"/>
      <c r="L110" s="95"/>
      <c r="M110" s="96"/>
      <c r="N110" s="7"/>
      <c r="O110" s="7"/>
      <c r="P110" s="7"/>
      <c r="Q110" s="7"/>
      <c r="R110" s="7"/>
      <c r="S110" s="7"/>
      <c r="T110" s="7"/>
      <c r="U110" s="7"/>
      <c r="V110" s="7"/>
      <c r="W110" s="7"/>
      <c r="X110" s="7"/>
      <c r="Y110" s="7"/>
      <c r="Z110" s="7"/>
    </row>
    <row r="111" ht="14.25" customHeight="1">
      <c r="A111" s="7"/>
      <c r="B111" s="97"/>
      <c r="E111" s="67"/>
      <c r="F111" s="97"/>
      <c r="I111" s="67"/>
      <c r="J111" s="97"/>
      <c r="M111" s="67"/>
      <c r="N111" s="7"/>
      <c r="O111" s="7"/>
      <c r="P111" s="7"/>
      <c r="Q111" s="7"/>
      <c r="R111" s="7"/>
      <c r="S111" s="7"/>
      <c r="T111" s="7"/>
      <c r="U111" s="7"/>
      <c r="V111" s="7"/>
      <c r="W111" s="7"/>
      <c r="X111" s="7"/>
      <c r="Y111" s="7"/>
      <c r="Z111" s="7"/>
    </row>
    <row r="112" ht="14.25" customHeight="1">
      <c r="A112" s="7"/>
      <c r="B112" s="97"/>
      <c r="E112" s="67"/>
      <c r="F112" s="97"/>
      <c r="I112" s="67"/>
      <c r="J112" s="97"/>
      <c r="M112" s="67"/>
      <c r="N112" s="7"/>
      <c r="O112" s="7"/>
      <c r="P112" s="7"/>
      <c r="Q112" s="7"/>
      <c r="R112" s="7"/>
      <c r="S112" s="7"/>
      <c r="T112" s="7"/>
      <c r="U112" s="7"/>
      <c r="V112" s="7"/>
      <c r="W112" s="7"/>
      <c r="X112" s="7"/>
      <c r="Y112" s="7"/>
      <c r="Z112" s="7"/>
    </row>
    <row r="113" ht="14.25" customHeight="1">
      <c r="A113" s="7"/>
      <c r="B113" s="97"/>
      <c r="E113" s="67"/>
      <c r="F113" s="97"/>
      <c r="I113" s="67"/>
      <c r="J113" s="97"/>
      <c r="M113" s="67"/>
      <c r="N113" s="7"/>
      <c r="O113" s="7"/>
      <c r="P113" s="7"/>
      <c r="Q113" s="7"/>
      <c r="R113" s="7"/>
      <c r="S113" s="7"/>
      <c r="T113" s="7"/>
      <c r="U113" s="7"/>
      <c r="V113" s="7"/>
      <c r="W113" s="7"/>
      <c r="X113" s="7"/>
      <c r="Y113" s="7"/>
      <c r="Z113" s="7"/>
    </row>
    <row r="114" ht="14.25" customHeight="1">
      <c r="A114" s="7"/>
      <c r="B114" s="97"/>
      <c r="E114" s="67"/>
      <c r="F114" s="97"/>
      <c r="I114" s="67"/>
      <c r="J114" s="97"/>
      <c r="M114" s="67"/>
      <c r="N114" s="7"/>
      <c r="O114" s="7"/>
      <c r="P114" s="7"/>
      <c r="Q114" s="7"/>
      <c r="R114" s="7"/>
      <c r="S114" s="7"/>
      <c r="T114" s="7"/>
      <c r="U114" s="7"/>
      <c r="V114" s="7"/>
      <c r="W114" s="7"/>
      <c r="X114" s="7"/>
      <c r="Y114" s="7"/>
      <c r="Z114" s="7"/>
    </row>
    <row r="115" ht="14.25" customHeight="1">
      <c r="A115" s="7"/>
      <c r="B115" s="97"/>
      <c r="E115" s="67"/>
      <c r="F115" s="97"/>
      <c r="I115" s="67"/>
      <c r="J115" s="97"/>
      <c r="M115" s="67"/>
      <c r="N115" s="7"/>
      <c r="O115" s="7"/>
      <c r="P115" s="7"/>
      <c r="Q115" s="7"/>
      <c r="R115" s="7"/>
      <c r="S115" s="7"/>
      <c r="T115" s="7"/>
      <c r="U115" s="7"/>
      <c r="V115" s="7"/>
      <c r="W115" s="7"/>
      <c r="X115" s="7"/>
      <c r="Y115" s="7"/>
      <c r="Z115" s="7"/>
    </row>
    <row r="116" ht="14.25" customHeight="1">
      <c r="A116" s="7"/>
      <c r="B116" s="97"/>
      <c r="E116" s="67"/>
      <c r="F116" s="97"/>
      <c r="I116" s="67"/>
      <c r="J116" s="97"/>
      <c r="M116" s="67"/>
      <c r="N116" s="7"/>
      <c r="O116" s="7"/>
      <c r="P116" s="7"/>
      <c r="Q116" s="7"/>
      <c r="R116" s="7"/>
      <c r="S116" s="7"/>
      <c r="T116" s="7"/>
      <c r="U116" s="7"/>
      <c r="V116" s="7"/>
      <c r="W116" s="7"/>
      <c r="X116" s="7"/>
      <c r="Y116" s="7"/>
      <c r="Z116" s="7"/>
    </row>
    <row r="117" ht="14.25" customHeight="1">
      <c r="A117" s="7"/>
      <c r="B117" s="97"/>
      <c r="E117" s="67"/>
      <c r="F117" s="97"/>
      <c r="I117" s="67"/>
      <c r="J117" s="97"/>
      <c r="M117" s="67"/>
      <c r="N117" s="7"/>
      <c r="O117" s="7"/>
      <c r="P117" s="7"/>
      <c r="Q117" s="7"/>
      <c r="R117" s="7"/>
      <c r="S117" s="7"/>
      <c r="T117" s="7"/>
      <c r="U117" s="7"/>
      <c r="V117" s="7"/>
      <c r="W117" s="7"/>
      <c r="X117" s="7"/>
      <c r="Y117" s="7"/>
      <c r="Z117" s="7"/>
    </row>
    <row r="118" ht="14.25" customHeight="1">
      <c r="A118" s="7"/>
      <c r="B118" s="97"/>
      <c r="E118" s="67"/>
      <c r="F118" s="97"/>
      <c r="I118" s="67"/>
      <c r="J118" s="97"/>
      <c r="M118" s="67"/>
      <c r="N118" s="7"/>
      <c r="O118" s="7"/>
      <c r="P118" s="7"/>
      <c r="Q118" s="7"/>
      <c r="R118" s="7"/>
      <c r="S118" s="7"/>
      <c r="T118" s="7"/>
      <c r="U118" s="7"/>
      <c r="V118" s="7"/>
      <c r="W118" s="7"/>
      <c r="X118" s="7"/>
      <c r="Y118" s="7"/>
      <c r="Z118" s="7"/>
    </row>
    <row r="119" ht="14.25" customHeight="1">
      <c r="A119" s="7"/>
      <c r="B119" s="97"/>
      <c r="E119" s="67"/>
      <c r="F119" s="97"/>
      <c r="I119" s="67"/>
      <c r="J119" s="97"/>
      <c r="M119" s="67"/>
      <c r="N119" s="7"/>
      <c r="O119" s="7"/>
      <c r="P119" s="7"/>
      <c r="Q119" s="7"/>
      <c r="R119" s="7"/>
      <c r="S119" s="7"/>
      <c r="T119" s="7"/>
      <c r="U119" s="7"/>
      <c r="V119" s="7"/>
      <c r="W119" s="7"/>
      <c r="X119" s="7"/>
      <c r="Y119" s="7"/>
      <c r="Z119" s="7"/>
    </row>
    <row r="120" ht="14.25" customHeight="1">
      <c r="A120" s="7"/>
      <c r="B120" s="97"/>
      <c r="E120" s="67"/>
      <c r="F120" s="97"/>
      <c r="I120" s="67"/>
      <c r="J120" s="97"/>
      <c r="M120" s="67"/>
      <c r="N120" s="7"/>
      <c r="O120" s="7"/>
      <c r="P120" s="7"/>
      <c r="Q120" s="7"/>
      <c r="R120" s="7"/>
      <c r="S120" s="7"/>
      <c r="T120" s="7"/>
      <c r="U120" s="7"/>
      <c r="V120" s="7"/>
      <c r="W120" s="7"/>
      <c r="X120" s="7"/>
      <c r="Y120" s="7"/>
      <c r="Z120" s="7"/>
    </row>
    <row r="121" ht="14.25" customHeight="1">
      <c r="A121" s="7"/>
      <c r="B121" s="97"/>
      <c r="E121" s="67"/>
      <c r="F121" s="97"/>
      <c r="I121" s="67"/>
      <c r="J121" s="97"/>
      <c r="M121" s="67"/>
      <c r="N121" s="7"/>
      <c r="O121" s="7"/>
      <c r="P121" s="7"/>
      <c r="Q121" s="7"/>
      <c r="R121" s="7"/>
      <c r="S121" s="7"/>
      <c r="T121" s="7"/>
      <c r="U121" s="7"/>
      <c r="V121" s="7"/>
      <c r="W121" s="7"/>
      <c r="X121" s="7"/>
      <c r="Y121" s="7"/>
      <c r="Z121" s="7"/>
    </row>
    <row r="122" ht="14.25" customHeight="1">
      <c r="A122" s="7"/>
      <c r="B122" s="97"/>
      <c r="E122" s="67"/>
      <c r="F122" s="97"/>
      <c r="I122" s="67"/>
      <c r="J122" s="97"/>
      <c r="M122" s="67"/>
      <c r="N122" s="7"/>
      <c r="O122" s="7"/>
      <c r="P122" s="7"/>
      <c r="Q122" s="7"/>
      <c r="R122" s="7"/>
      <c r="S122" s="7"/>
      <c r="T122" s="7"/>
      <c r="U122" s="7"/>
      <c r="V122" s="7"/>
      <c r="W122" s="7"/>
      <c r="X122" s="7"/>
      <c r="Y122" s="7"/>
      <c r="Z122" s="7"/>
    </row>
    <row r="123" ht="14.25" customHeight="1">
      <c r="A123" s="7"/>
      <c r="B123" s="97"/>
      <c r="E123" s="67"/>
      <c r="F123" s="97"/>
      <c r="I123" s="67"/>
      <c r="J123" s="97"/>
      <c r="M123" s="67"/>
      <c r="N123" s="7"/>
      <c r="O123" s="7"/>
      <c r="P123" s="7"/>
      <c r="Q123" s="7"/>
      <c r="R123" s="7"/>
      <c r="S123" s="7"/>
      <c r="T123" s="7"/>
      <c r="U123" s="7"/>
      <c r="V123" s="7"/>
      <c r="W123" s="7"/>
      <c r="X123" s="7"/>
      <c r="Y123" s="7"/>
      <c r="Z123" s="7"/>
    </row>
    <row r="124" ht="14.25" customHeight="1">
      <c r="A124" s="7"/>
      <c r="B124" s="97"/>
      <c r="E124" s="67"/>
      <c r="F124" s="97"/>
      <c r="I124" s="67"/>
      <c r="J124" s="97"/>
      <c r="M124" s="67"/>
      <c r="N124" s="7"/>
      <c r="O124" s="7"/>
      <c r="P124" s="7"/>
      <c r="Q124" s="7"/>
      <c r="R124" s="7"/>
      <c r="S124" s="7"/>
      <c r="T124" s="7"/>
      <c r="U124" s="7"/>
      <c r="V124" s="7"/>
      <c r="W124" s="7"/>
      <c r="X124" s="7"/>
      <c r="Y124" s="7"/>
      <c r="Z124" s="7"/>
    </row>
    <row r="125" ht="14.25" customHeight="1">
      <c r="A125" s="7"/>
      <c r="B125" s="97"/>
      <c r="E125" s="67"/>
      <c r="F125" s="97"/>
      <c r="I125" s="67"/>
      <c r="J125" s="97"/>
      <c r="M125" s="67"/>
      <c r="N125" s="7"/>
      <c r="O125" s="7"/>
      <c r="P125" s="7"/>
      <c r="Q125" s="7"/>
      <c r="R125" s="7"/>
      <c r="S125" s="7"/>
      <c r="T125" s="7"/>
      <c r="U125" s="7"/>
      <c r="V125" s="7"/>
      <c r="W125" s="7"/>
      <c r="X125" s="7"/>
      <c r="Y125" s="7"/>
      <c r="Z125" s="7"/>
    </row>
    <row r="126" ht="14.25" customHeight="1">
      <c r="A126" s="7"/>
      <c r="B126" s="97"/>
      <c r="E126" s="67"/>
      <c r="F126" s="97"/>
      <c r="I126" s="67"/>
      <c r="J126" s="97"/>
      <c r="M126" s="67"/>
      <c r="N126" s="7"/>
      <c r="O126" s="7"/>
      <c r="P126" s="7"/>
      <c r="Q126" s="7"/>
      <c r="R126" s="7"/>
      <c r="S126" s="7"/>
      <c r="T126" s="7"/>
      <c r="U126" s="7"/>
      <c r="V126" s="7"/>
      <c r="W126" s="7"/>
      <c r="X126" s="7"/>
      <c r="Y126" s="7"/>
      <c r="Z126" s="7"/>
    </row>
    <row r="127" ht="14.25" customHeight="1">
      <c r="A127" s="7"/>
      <c r="B127" s="97"/>
      <c r="E127" s="67"/>
      <c r="F127" s="97"/>
      <c r="I127" s="67"/>
      <c r="J127" s="97"/>
      <c r="M127" s="67"/>
      <c r="N127" s="7"/>
      <c r="O127" s="7"/>
      <c r="P127" s="7"/>
      <c r="Q127" s="7"/>
      <c r="R127" s="7"/>
      <c r="S127" s="7"/>
      <c r="T127" s="7"/>
      <c r="U127" s="7"/>
      <c r="V127" s="7"/>
      <c r="W127" s="7"/>
      <c r="X127" s="7"/>
      <c r="Y127" s="7"/>
      <c r="Z127" s="7"/>
    </row>
    <row r="128" ht="14.25" customHeight="1">
      <c r="A128" s="7"/>
      <c r="B128" s="98"/>
      <c r="C128" s="89"/>
      <c r="D128" s="89"/>
      <c r="E128" s="99"/>
      <c r="F128" s="98"/>
      <c r="G128" s="89"/>
      <c r="H128" s="89"/>
      <c r="I128" s="99"/>
      <c r="J128" s="98"/>
      <c r="K128" s="89"/>
      <c r="L128" s="89"/>
      <c r="M128" s="99"/>
      <c r="N128" s="7"/>
      <c r="O128" s="7"/>
      <c r="P128" s="7"/>
      <c r="Q128" s="7"/>
      <c r="R128" s="7"/>
      <c r="S128" s="7"/>
      <c r="T128" s="7"/>
      <c r="U128" s="7"/>
      <c r="V128" s="7"/>
      <c r="W128" s="7"/>
      <c r="X128" s="7"/>
      <c r="Y128" s="7"/>
      <c r="Z128" s="7"/>
    </row>
    <row r="129" ht="14.25" customHeight="1">
      <c r="A129" s="7"/>
      <c r="B129" s="100" t="s">
        <v>73</v>
      </c>
      <c r="M129" s="67"/>
      <c r="N129" s="7"/>
      <c r="O129" s="7"/>
      <c r="P129" s="7"/>
      <c r="Q129" s="7"/>
      <c r="R129" s="7"/>
      <c r="S129" s="7"/>
      <c r="T129" s="7"/>
      <c r="U129" s="7"/>
      <c r="V129" s="7"/>
      <c r="W129" s="7"/>
      <c r="X129" s="7"/>
      <c r="Y129" s="7"/>
      <c r="Z129" s="7"/>
    </row>
    <row r="130" ht="14.25" customHeight="1">
      <c r="A130" s="7"/>
      <c r="B130" s="97"/>
      <c r="M130" s="67"/>
      <c r="N130" s="7"/>
      <c r="O130" s="7"/>
      <c r="P130" s="7"/>
      <c r="Q130" s="7"/>
      <c r="R130" s="7"/>
      <c r="S130" s="7"/>
      <c r="T130" s="7"/>
      <c r="U130" s="7"/>
      <c r="V130" s="7"/>
      <c r="W130" s="7"/>
      <c r="X130" s="7"/>
      <c r="Y130" s="7"/>
      <c r="Z130" s="7"/>
    </row>
    <row r="131" ht="14.25" customHeight="1">
      <c r="A131" s="7"/>
      <c r="B131" s="97"/>
      <c r="M131" s="67"/>
      <c r="N131" s="7"/>
      <c r="O131" s="7"/>
      <c r="P131" s="7"/>
      <c r="Q131" s="7"/>
      <c r="R131" s="7"/>
      <c r="S131" s="7"/>
      <c r="T131" s="7"/>
      <c r="U131" s="7"/>
      <c r="V131" s="7"/>
      <c r="W131" s="7"/>
      <c r="X131" s="7"/>
      <c r="Y131" s="7"/>
      <c r="Z131" s="7"/>
    </row>
    <row r="132" ht="14.25" customHeight="1">
      <c r="A132" s="7"/>
      <c r="B132" s="97"/>
      <c r="M132" s="67"/>
      <c r="N132" s="7"/>
      <c r="O132" s="7"/>
      <c r="P132" s="7"/>
      <c r="Q132" s="7"/>
      <c r="R132" s="7"/>
      <c r="S132" s="7"/>
      <c r="T132" s="7"/>
      <c r="U132" s="7"/>
      <c r="V132" s="7"/>
      <c r="W132" s="7"/>
      <c r="X132" s="7"/>
      <c r="Y132" s="7"/>
      <c r="Z132" s="7"/>
    </row>
    <row r="133" ht="23.25" customHeight="1">
      <c r="A133" s="7"/>
      <c r="B133" s="7"/>
      <c r="C133" s="7"/>
      <c r="D133" s="7"/>
      <c r="E133" s="7"/>
      <c r="F133" s="7"/>
      <c r="G133" s="7"/>
      <c r="H133" s="2" t="s">
        <v>74</v>
      </c>
      <c r="N133" s="7"/>
      <c r="O133" s="7"/>
      <c r="P133" s="7"/>
      <c r="Q133" s="7"/>
      <c r="R133" s="7"/>
      <c r="S133" s="7"/>
      <c r="T133" s="7"/>
      <c r="U133" s="7"/>
      <c r="V133" s="7"/>
      <c r="W133" s="7"/>
      <c r="X133" s="7"/>
      <c r="Y133" s="7"/>
      <c r="Z133" s="7"/>
    </row>
    <row r="134" ht="14.25" customHeight="1">
      <c r="A134" s="7"/>
      <c r="B134" s="7"/>
      <c r="C134" s="7"/>
      <c r="D134" s="7"/>
      <c r="E134" s="7"/>
      <c r="F134" s="7"/>
      <c r="G134" s="7"/>
      <c r="N134" s="7"/>
      <c r="O134" s="7"/>
      <c r="P134" s="7"/>
      <c r="Q134" s="7"/>
      <c r="R134" s="7"/>
      <c r="S134" s="7"/>
      <c r="T134" s="7"/>
      <c r="U134" s="7"/>
      <c r="V134" s="7"/>
      <c r="W134" s="7"/>
      <c r="X134" s="7"/>
      <c r="Y134" s="7"/>
      <c r="Z134" s="7"/>
    </row>
    <row r="135" ht="14.25" customHeight="1">
      <c r="A135" s="7"/>
      <c r="B135" s="7"/>
      <c r="C135" s="7"/>
      <c r="D135" s="7"/>
      <c r="E135" s="7"/>
      <c r="F135" s="7"/>
      <c r="G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51" t="s">
        <v>64</v>
      </c>
      <c r="E137" s="8" t="s">
        <v>65</v>
      </c>
      <c r="N137" s="7"/>
      <c r="O137" s="7"/>
      <c r="P137" s="7"/>
      <c r="Q137" s="7"/>
      <c r="R137" s="7"/>
      <c r="S137" s="7"/>
      <c r="T137" s="7"/>
      <c r="U137" s="7"/>
      <c r="V137" s="7"/>
      <c r="W137" s="7"/>
      <c r="X137" s="7"/>
      <c r="Y137" s="7"/>
      <c r="Z137" s="7"/>
    </row>
    <row r="138" ht="14.25" customHeight="1">
      <c r="A138" s="7"/>
      <c r="B138" s="82" t="str">
        <f>'Matrix - Part 5'!I48</f>
        <v>0</v>
      </c>
      <c r="E138" s="83" t="str">
        <f>VLOOKUP('Matrix - Part 5'!I48,'Matrix - Part 5'!A55:B84,2,FALSE)</f>
        <v>#N/A</v>
      </c>
      <c r="F138" s="84"/>
      <c r="G138" s="84"/>
      <c r="H138" s="84"/>
      <c r="I138" s="84"/>
      <c r="J138" s="84"/>
      <c r="K138" s="84"/>
      <c r="L138" s="84"/>
      <c r="M138" s="85"/>
      <c r="N138" s="7"/>
      <c r="O138" s="7"/>
      <c r="P138" s="7"/>
      <c r="Q138" s="7"/>
      <c r="R138" s="7"/>
      <c r="S138" s="7"/>
      <c r="T138" s="7"/>
      <c r="U138" s="7"/>
      <c r="V138" s="7"/>
      <c r="W138" s="7"/>
      <c r="X138" s="7"/>
      <c r="Y138" s="7"/>
      <c r="Z138" s="7"/>
    </row>
    <row r="139" ht="14.25" customHeight="1">
      <c r="A139" s="7"/>
      <c r="E139" s="86"/>
      <c r="M139" s="87"/>
      <c r="N139" s="7"/>
      <c r="O139" s="7"/>
      <c r="P139" s="7"/>
      <c r="Q139" s="7"/>
      <c r="R139" s="7"/>
      <c r="S139" s="7"/>
      <c r="T139" s="7"/>
      <c r="U139" s="7"/>
      <c r="V139" s="7"/>
      <c r="W139" s="7"/>
      <c r="X139" s="7"/>
      <c r="Y139" s="7"/>
      <c r="Z139" s="7"/>
    </row>
    <row r="140" ht="14.25" customHeight="1">
      <c r="A140" s="7"/>
      <c r="E140" s="88"/>
      <c r="F140" s="89"/>
      <c r="G140" s="89"/>
      <c r="H140" s="89"/>
      <c r="I140" s="89"/>
      <c r="J140" s="89"/>
      <c r="K140" s="89"/>
      <c r="L140" s="89"/>
      <c r="M140" s="90"/>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91" t="s">
        <v>66</v>
      </c>
      <c r="C142" s="14"/>
      <c r="D142" s="14"/>
      <c r="E142" s="15"/>
      <c r="F142" s="92" t="s">
        <v>67</v>
      </c>
      <c r="G142" s="14"/>
      <c r="H142" s="14"/>
      <c r="I142" s="15"/>
      <c r="J142" s="93" t="s">
        <v>68</v>
      </c>
      <c r="K142" s="14"/>
      <c r="L142" s="14"/>
      <c r="M142" s="15"/>
      <c r="N142" s="7"/>
      <c r="O142" s="7"/>
      <c r="P142" s="7"/>
      <c r="Q142" s="7"/>
      <c r="R142" s="7"/>
      <c r="S142" s="7"/>
      <c r="T142" s="7"/>
      <c r="U142" s="7"/>
      <c r="V142" s="7"/>
      <c r="W142" s="7"/>
      <c r="X142" s="7"/>
      <c r="Y142" s="7"/>
      <c r="Z142" s="7"/>
    </row>
    <row r="143" ht="15.0" customHeight="1">
      <c r="A143" s="7"/>
      <c r="B143" s="94" t="str">
        <f>CLEAN(IFERROR(VLOOKUP('Matrix - Part 5'!I19,'Matrix - Part 5'!G23:H23,2,FALSE),"")&amp;CHAR(10)&amp;IFERROR(VLOOKUP('Matrix - Part 5'!I33,'Matrix - Part 5'!G36:H36,2,FALSE),""))</f>
        <v/>
      </c>
      <c r="C143" s="95"/>
      <c r="D143" s="95"/>
      <c r="E143" s="96"/>
      <c r="F143" s="94" t="str">
        <f>CLEAN(IFERROR(VLOOKUP('Matrix - Part 5'!I5,'Matrix - Part 5'!G7:H7,2,FALSE),"")&amp;CHAR(10)&amp;IFERROR(VLOOKUP('Matrix - Part 5'!I9,'Matrix - Part 5'!G12:H12,2,FALSE),"")&amp;CHAR(10)&amp;IFERROR(VLOOKUP('Matrix - Part 5'!I14,'Matrix - Part 5'!G17:H17,2,FALSE),"")&amp;CHAR(10)&amp;IFERROR(VLOOKUP('Matrix - Part 5'!I19,'Matrix - Part 5'!G22:H22,2,FALSE),"")&amp;CHAR(10)&amp;IFERROR(VLOOKUP('Matrix - Part 5'!I25,'Matrix - Part 5'!G27:H27,2,FALSE),"")&amp;CHAR(10)&amp;IFERROR(VLOOKUP('Matrix - Part 5'!I29,'Matrix - Part 5'!G31:H31,2,FALSE),"")&amp;CHAR(10)&amp;IFERROR(VLOOKUP('Matrix - Part 5'!I33,'Matrix - Part 5'!G35:H35,2,FALSE),"")&amp;CHAR(10)&amp;IFERROR(VLOOKUP('Matrix - Part 5'!I38,'Matrix - Part 5'!G41:H41,2,FALSE),""))</f>
        <v/>
      </c>
      <c r="G143" s="95"/>
      <c r="H143" s="95"/>
      <c r="I143" s="96"/>
      <c r="J143" s="94" t="str">
        <f>CLEAN(IFERROR(VLOOKUP('Matrix - Part 5'!I5,'Matrix - Part 5'!G6:H6,2,FALSE),"")&amp;CHAR(10)&amp;IFERROR(VLOOKUP('Matrix - Part 5'!I9,'Matrix - Part 5'!G11:H11,2,FALSE),"")&amp;CHAR(10)&amp;IFERROR(VLOOKUP('Matrix - Part 5'!I14,'Matrix - Part 5'!G16:H16,2,FALSE),"")&amp;CHAR(10)&amp;IFERROR(VLOOKUP('Matrix - Part 5'!I19,'Matrix - Part 5'!G21:H21,2,FALSE),"")&amp;CHAR(10)&amp;IFERROR(VLOOKUP('Matrix - Part 5'!I25,'Matrix - Part 5'!G26:H26,2,FALSE),"")&amp;CHAR(10)&amp;IFERROR(VLOOKUP('Matrix - Part 5'!I29,'Matrix - Part 5'!G30:H30,2,FALSE),"")&amp;CHAR(10)&amp;IFERROR(VLOOKUP('Matrix - Part 5'!I33,'Matrix - Part 5'!G34:H34,2,FALSE),"")&amp;CHAR(10)&amp;IFERROR(VLOOKUP('Matrix - Part 5'!I38,'Matrix - Part 5'!G40:H40,2,FALSE),""))</f>
        <v/>
      </c>
      <c r="K143" s="95"/>
      <c r="L143" s="95"/>
      <c r="M143" s="96"/>
      <c r="N143" s="7"/>
      <c r="O143" s="7"/>
      <c r="P143" s="7"/>
      <c r="Q143" s="7"/>
      <c r="R143" s="7"/>
      <c r="S143" s="7"/>
      <c r="T143" s="7"/>
      <c r="U143" s="7"/>
      <c r="V143" s="7"/>
      <c r="W143" s="7"/>
      <c r="X143" s="7"/>
      <c r="Y143" s="7"/>
      <c r="Z143" s="7"/>
    </row>
    <row r="144" ht="14.25" customHeight="1">
      <c r="A144" s="7"/>
      <c r="B144" s="97"/>
      <c r="E144" s="67"/>
      <c r="F144" s="97"/>
      <c r="I144" s="67"/>
      <c r="J144" s="97"/>
      <c r="M144" s="67"/>
      <c r="N144" s="7"/>
      <c r="O144" s="7"/>
      <c r="P144" s="7"/>
      <c r="Q144" s="7"/>
      <c r="R144" s="7"/>
      <c r="S144" s="7"/>
      <c r="T144" s="7"/>
      <c r="U144" s="7"/>
      <c r="V144" s="7"/>
      <c r="W144" s="7"/>
      <c r="X144" s="7"/>
      <c r="Y144" s="7"/>
      <c r="Z144" s="7"/>
    </row>
    <row r="145" ht="14.25" customHeight="1">
      <c r="A145" s="7"/>
      <c r="B145" s="97"/>
      <c r="E145" s="67"/>
      <c r="F145" s="97"/>
      <c r="I145" s="67"/>
      <c r="J145" s="97"/>
      <c r="M145" s="67"/>
      <c r="N145" s="7"/>
      <c r="O145" s="7"/>
      <c r="P145" s="7"/>
      <c r="Q145" s="7"/>
      <c r="R145" s="7"/>
      <c r="S145" s="7"/>
      <c r="T145" s="7"/>
      <c r="U145" s="7"/>
      <c r="V145" s="7"/>
      <c r="W145" s="7"/>
      <c r="X145" s="7"/>
      <c r="Y145" s="7"/>
      <c r="Z145" s="7"/>
    </row>
    <row r="146" ht="14.25" customHeight="1">
      <c r="A146" s="7"/>
      <c r="B146" s="97"/>
      <c r="E146" s="67"/>
      <c r="F146" s="97"/>
      <c r="I146" s="67"/>
      <c r="J146" s="97"/>
      <c r="M146" s="67"/>
      <c r="N146" s="7"/>
      <c r="O146" s="7"/>
      <c r="P146" s="7"/>
      <c r="Q146" s="7"/>
      <c r="R146" s="7"/>
      <c r="S146" s="7"/>
      <c r="T146" s="7"/>
      <c r="U146" s="7"/>
      <c r="V146" s="7"/>
      <c r="W146" s="7"/>
      <c r="X146" s="7"/>
      <c r="Y146" s="7"/>
      <c r="Z146" s="7"/>
    </row>
    <row r="147" ht="14.25" customHeight="1">
      <c r="A147" s="7"/>
      <c r="B147" s="97"/>
      <c r="E147" s="67"/>
      <c r="F147" s="97"/>
      <c r="I147" s="67"/>
      <c r="J147" s="97"/>
      <c r="M147" s="67"/>
      <c r="N147" s="7"/>
      <c r="O147" s="7"/>
      <c r="P147" s="7"/>
      <c r="Q147" s="7"/>
      <c r="R147" s="7"/>
      <c r="S147" s="7"/>
      <c r="T147" s="7"/>
      <c r="U147" s="7"/>
      <c r="V147" s="7"/>
      <c r="W147" s="7"/>
      <c r="X147" s="7"/>
      <c r="Y147" s="7"/>
      <c r="Z147" s="7"/>
    </row>
    <row r="148" ht="14.25" customHeight="1">
      <c r="A148" s="7"/>
      <c r="B148" s="97"/>
      <c r="E148" s="67"/>
      <c r="F148" s="97"/>
      <c r="I148" s="67"/>
      <c r="J148" s="97"/>
      <c r="M148" s="67"/>
      <c r="N148" s="7"/>
      <c r="O148" s="7"/>
      <c r="P148" s="7"/>
      <c r="Q148" s="7"/>
      <c r="R148" s="7"/>
      <c r="S148" s="7"/>
      <c r="T148" s="7"/>
      <c r="U148" s="7"/>
      <c r="V148" s="7"/>
      <c r="W148" s="7"/>
      <c r="X148" s="7"/>
      <c r="Y148" s="7"/>
      <c r="Z148" s="7"/>
    </row>
    <row r="149" ht="14.25" customHeight="1">
      <c r="A149" s="7"/>
      <c r="B149" s="97"/>
      <c r="E149" s="67"/>
      <c r="F149" s="97"/>
      <c r="I149" s="67"/>
      <c r="J149" s="97"/>
      <c r="M149" s="67"/>
      <c r="N149" s="7"/>
      <c r="O149" s="7"/>
      <c r="P149" s="7"/>
      <c r="Q149" s="7"/>
      <c r="R149" s="7"/>
      <c r="S149" s="7"/>
      <c r="T149" s="7"/>
      <c r="U149" s="7"/>
      <c r="V149" s="7"/>
      <c r="W149" s="7"/>
      <c r="X149" s="7"/>
      <c r="Y149" s="7"/>
      <c r="Z149" s="7"/>
    </row>
    <row r="150" ht="14.25" customHeight="1">
      <c r="A150" s="7"/>
      <c r="B150" s="97"/>
      <c r="E150" s="67"/>
      <c r="F150" s="97"/>
      <c r="I150" s="67"/>
      <c r="J150" s="97"/>
      <c r="M150" s="67"/>
      <c r="N150" s="7"/>
      <c r="O150" s="7"/>
      <c r="P150" s="7"/>
      <c r="Q150" s="7"/>
      <c r="R150" s="7"/>
      <c r="S150" s="7"/>
      <c r="T150" s="7"/>
      <c r="U150" s="7"/>
      <c r="V150" s="7"/>
      <c r="W150" s="7"/>
      <c r="X150" s="7"/>
      <c r="Y150" s="7"/>
      <c r="Z150" s="7"/>
    </row>
    <row r="151" ht="14.25" customHeight="1">
      <c r="A151" s="7"/>
      <c r="B151" s="97"/>
      <c r="E151" s="67"/>
      <c r="F151" s="97"/>
      <c r="I151" s="67"/>
      <c r="J151" s="97"/>
      <c r="M151" s="67"/>
      <c r="N151" s="7"/>
      <c r="O151" s="7"/>
      <c r="P151" s="7"/>
      <c r="Q151" s="7"/>
      <c r="R151" s="7"/>
      <c r="S151" s="7"/>
      <c r="T151" s="7"/>
      <c r="U151" s="7"/>
      <c r="V151" s="7"/>
      <c r="W151" s="7"/>
      <c r="X151" s="7"/>
      <c r="Y151" s="7"/>
      <c r="Z151" s="7"/>
    </row>
    <row r="152" ht="14.25" customHeight="1">
      <c r="A152" s="7"/>
      <c r="B152" s="97"/>
      <c r="E152" s="67"/>
      <c r="F152" s="97"/>
      <c r="I152" s="67"/>
      <c r="J152" s="97"/>
      <c r="M152" s="67"/>
      <c r="N152" s="7"/>
      <c r="O152" s="7"/>
      <c r="P152" s="7"/>
      <c r="Q152" s="7"/>
      <c r="R152" s="7"/>
      <c r="S152" s="7"/>
      <c r="T152" s="7"/>
      <c r="U152" s="7"/>
      <c r="V152" s="7"/>
      <c r="W152" s="7"/>
      <c r="X152" s="7"/>
      <c r="Y152" s="7"/>
      <c r="Z152" s="7"/>
    </row>
    <row r="153" ht="14.25" customHeight="1">
      <c r="A153" s="7"/>
      <c r="B153" s="97"/>
      <c r="E153" s="67"/>
      <c r="F153" s="97"/>
      <c r="I153" s="67"/>
      <c r="J153" s="97"/>
      <c r="M153" s="67"/>
      <c r="N153" s="7"/>
      <c r="O153" s="7"/>
      <c r="P153" s="7"/>
      <c r="Q153" s="7"/>
      <c r="R153" s="7"/>
      <c r="S153" s="7"/>
      <c r="T153" s="7"/>
      <c r="U153" s="7"/>
      <c r="V153" s="7"/>
      <c r="W153" s="7"/>
      <c r="X153" s="7"/>
      <c r="Y153" s="7"/>
      <c r="Z153" s="7"/>
    </row>
    <row r="154" ht="14.25" customHeight="1">
      <c r="A154" s="7"/>
      <c r="B154" s="97"/>
      <c r="E154" s="67"/>
      <c r="F154" s="97"/>
      <c r="I154" s="67"/>
      <c r="J154" s="97"/>
      <c r="M154" s="67"/>
      <c r="N154" s="7"/>
      <c r="O154" s="7"/>
      <c r="P154" s="7"/>
      <c r="Q154" s="7"/>
      <c r="R154" s="7"/>
      <c r="S154" s="7"/>
      <c r="T154" s="7"/>
      <c r="U154" s="7"/>
      <c r="V154" s="7"/>
      <c r="W154" s="7"/>
      <c r="X154" s="7"/>
      <c r="Y154" s="7"/>
      <c r="Z154" s="7"/>
    </row>
    <row r="155" ht="14.25" customHeight="1">
      <c r="A155" s="7"/>
      <c r="B155" s="97"/>
      <c r="E155" s="67"/>
      <c r="F155" s="97"/>
      <c r="I155" s="67"/>
      <c r="J155" s="97"/>
      <c r="M155" s="67"/>
      <c r="N155" s="7"/>
      <c r="O155" s="7"/>
      <c r="P155" s="7"/>
      <c r="Q155" s="7"/>
      <c r="R155" s="7"/>
      <c r="S155" s="7"/>
      <c r="T155" s="7"/>
      <c r="U155" s="7"/>
      <c r="V155" s="7"/>
      <c r="W155" s="7"/>
      <c r="X155" s="7"/>
      <c r="Y155" s="7"/>
      <c r="Z155" s="7"/>
    </row>
    <row r="156" ht="14.25" customHeight="1">
      <c r="A156" s="7"/>
      <c r="B156" s="97"/>
      <c r="E156" s="67"/>
      <c r="F156" s="97"/>
      <c r="I156" s="67"/>
      <c r="J156" s="97"/>
      <c r="M156" s="67"/>
      <c r="N156" s="7"/>
      <c r="O156" s="7"/>
      <c r="P156" s="7"/>
      <c r="Q156" s="7"/>
      <c r="R156" s="7"/>
      <c r="S156" s="7"/>
      <c r="T156" s="7"/>
      <c r="U156" s="7"/>
      <c r="V156" s="7"/>
      <c r="W156" s="7"/>
      <c r="X156" s="7"/>
      <c r="Y156" s="7"/>
      <c r="Z156" s="7"/>
    </row>
    <row r="157" ht="14.25" customHeight="1">
      <c r="A157" s="7"/>
      <c r="B157" s="97"/>
      <c r="E157" s="67"/>
      <c r="F157" s="97"/>
      <c r="I157" s="67"/>
      <c r="J157" s="97"/>
      <c r="M157" s="67"/>
      <c r="N157" s="7"/>
      <c r="O157" s="7"/>
      <c r="P157" s="7"/>
      <c r="Q157" s="7"/>
      <c r="R157" s="7"/>
      <c r="S157" s="7"/>
      <c r="T157" s="7"/>
      <c r="U157" s="7"/>
      <c r="V157" s="7"/>
      <c r="W157" s="7"/>
      <c r="X157" s="7"/>
      <c r="Y157" s="7"/>
      <c r="Z157" s="7"/>
    </row>
    <row r="158" ht="14.25" customHeight="1">
      <c r="A158" s="7"/>
      <c r="B158" s="97"/>
      <c r="E158" s="67"/>
      <c r="F158" s="97"/>
      <c r="I158" s="67"/>
      <c r="J158" s="97"/>
      <c r="M158" s="67"/>
      <c r="N158" s="7"/>
      <c r="O158" s="7"/>
      <c r="P158" s="7"/>
      <c r="Q158" s="7"/>
      <c r="R158" s="7"/>
      <c r="S158" s="7"/>
      <c r="T158" s="7"/>
      <c r="U158" s="7"/>
      <c r="V158" s="7"/>
      <c r="W158" s="7"/>
      <c r="X158" s="7"/>
      <c r="Y158" s="7"/>
      <c r="Z158" s="7"/>
    </row>
    <row r="159" ht="14.25" customHeight="1">
      <c r="A159" s="7"/>
      <c r="B159" s="97"/>
      <c r="E159" s="67"/>
      <c r="F159" s="97"/>
      <c r="I159" s="67"/>
      <c r="J159" s="97"/>
      <c r="M159" s="67"/>
      <c r="N159" s="7"/>
      <c r="O159" s="7"/>
      <c r="P159" s="7"/>
      <c r="Q159" s="7"/>
      <c r="R159" s="7"/>
      <c r="S159" s="7"/>
      <c r="T159" s="7"/>
      <c r="U159" s="7"/>
      <c r="V159" s="7"/>
      <c r="W159" s="7"/>
      <c r="X159" s="7"/>
      <c r="Y159" s="7"/>
      <c r="Z159" s="7"/>
    </row>
    <row r="160" ht="14.25" customHeight="1">
      <c r="A160" s="7"/>
      <c r="B160" s="97"/>
      <c r="E160" s="67"/>
      <c r="F160" s="97"/>
      <c r="I160" s="67"/>
      <c r="J160" s="97"/>
      <c r="M160" s="67"/>
      <c r="N160" s="7"/>
      <c r="O160" s="7"/>
      <c r="P160" s="7"/>
      <c r="Q160" s="7"/>
      <c r="R160" s="7"/>
      <c r="S160" s="7"/>
      <c r="T160" s="7"/>
      <c r="U160" s="7"/>
      <c r="V160" s="7"/>
      <c r="W160" s="7"/>
      <c r="X160" s="7"/>
      <c r="Y160" s="7"/>
      <c r="Z160" s="7"/>
    </row>
    <row r="161" ht="14.25" customHeight="1">
      <c r="A161" s="7"/>
      <c r="B161" s="98"/>
      <c r="C161" s="89"/>
      <c r="D161" s="89"/>
      <c r="E161" s="99"/>
      <c r="F161" s="98"/>
      <c r="G161" s="89"/>
      <c r="H161" s="89"/>
      <c r="I161" s="99"/>
      <c r="J161" s="98"/>
      <c r="K161" s="89"/>
      <c r="L161" s="89"/>
      <c r="M161" s="99"/>
      <c r="N161" s="7"/>
      <c r="O161" s="7"/>
      <c r="P161" s="7"/>
      <c r="Q161" s="7"/>
      <c r="R161" s="7"/>
      <c r="S161" s="7"/>
      <c r="T161" s="7"/>
      <c r="U161" s="7"/>
      <c r="V161" s="7"/>
      <c r="W161" s="7"/>
      <c r="X161" s="7"/>
      <c r="Y161" s="7"/>
      <c r="Z161" s="7"/>
    </row>
    <row r="162" ht="14.25" customHeight="1">
      <c r="A162" s="7"/>
      <c r="B162" s="100" t="s">
        <v>75</v>
      </c>
      <c r="M162" s="67"/>
      <c r="N162" s="7"/>
      <c r="O162" s="7"/>
      <c r="P162" s="7"/>
      <c r="Q162" s="7"/>
      <c r="R162" s="7"/>
      <c r="S162" s="7"/>
      <c r="T162" s="7"/>
      <c r="U162" s="7"/>
      <c r="V162" s="7"/>
      <c r="W162" s="7"/>
      <c r="X162" s="7"/>
      <c r="Y162" s="7"/>
      <c r="Z162" s="7"/>
    </row>
    <row r="163" ht="14.25" customHeight="1">
      <c r="A163" s="7"/>
      <c r="B163" s="97"/>
      <c r="M163" s="67"/>
      <c r="N163" s="7"/>
      <c r="O163" s="7"/>
      <c r="P163" s="7"/>
      <c r="Q163" s="7"/>
      <c r="R163" s="7"/>
      <c r="S163" s="7"/>
      <c r="T163" s="7"/>
      <c r="U163" s="7"/>
      <c r="V163" s="7"/>
      <c r="W163" s="7"/>
      <c r="X163" s="7"/>
      <c r="Y163" s="7"/>
      <c r="Z163" s="7"/>
    </row>
    <row r="164" ht="14.25" customHeight="1">
      <c r="A164" s="7"/>
      <c r="B164" s="97"/>
      <c r="M164" s="67"/>
      <c r="N164" s="7"/>
      <c r="O164" s="7"/>
      <c r="P164" s="7"/>
      <c r="Q164" s="7"/>
      <c r="R164" s="7"/>
      <c r="S164" s="7"/>
      <c r="T164" s="7"/>
      <c r="U164" s="7"/>
      <c r="V164" s="7"/>
      <c r="W164" s="7"/>
      <c r="X164" s="7"/>
      <c r="Y164" s="7"/>
      <c r="Z164" s="7"/>
    </row>
    <row r="165" ht="14.25" customHeight="1">
      <c r="A165" s="7"/>
      <c r="B165" s="97"/>
      <c r="M165" s="67"/>
      <c r="N165" s="7"/>
      <c r="O165" s="7"/>
      <c r="P165" s="7"/>
      <c r="Q165" s="7"/>
      <c r="R165" s="7"/>
      <c r="S165" s="7"/>
      <c r="T165" s="7"/>
      <c r="U165" s="7"/>
      <c r="V165" s="7"/>
      <c r="W165" s="7"/>
      <c r="X165" s="7"/>
      <c r="Y165" s="7"/>
      <c r="Z165" s="7"/>
    </row>
    <row r="166" ht="23.25" customHeight="1">
      <c r="A166" s="7"/>
      <c r="B166" s="7"/>
      <c r="C166" s="7"/>
      <c r="D166" s="7"/>
      <c r="E166" s="7"/>
      <c r="F166" s="7"/>
      <c r="G166" s="7"/>
      <c r="H166" s="2" t="s">
        <v>76</v>
      </c>
      <c r="N166" s="7"/>
      <c r="O166" s="7"/>
      <c r="P166" s="7"/>
      <c r="Q166" s="7"/>
      <c r="R166" s="7"/>
      <c r="S166" s="7"/>
      <c r="T166" s="7"/>
      <c r="U166" s="7"/>
      <c r="V166" s="7"/>
      <c r="W166" s="7"/>
      <c r="X166" s="7"/>
      <c r="Y166" s="7"/>
      <c r="Z166" s="7"/>
    </row>
    <row r="167" ht="14.25" customHeight="1">
      <c r="A167" s="7"/>
      <c r="B167" s="7"/>
      <c r="C167" s="7"/>
      <c r="D167" s="7"/>
      <c r="E167" s="7"/>
      <c r="F167" s="7"/>
      <c r="G167" s="7"/>
      <c r="N167" s="7"/>
      <c r="O167" s="7"/>
      <c r="P167" s="7"/>
      <c r="Q167" s="7"/>
      <c r="R167" s="7"/>
      <c r="S167" s="7"/>
      <c r="T167" s="7"/>
      <c r="U167" s="7"/>
      <c r="V167" s="7"/>
      <c r="W167" s="7"/>
      <c r="X167" s="7"/>
      <c r="Y167" s="7"/>
      <c r="Z167" s="7"/>
    </row>
    <row r="168" ht="14.25" customHeight="1">
      <c r="A168" s="7"/>
      <c r="B168" s="7"/>
      <c r="C168" s="7"/>
      <c r="D168" s="7"/>
      <c r="E168" s="7"/>
      <c r="F168" s="7"/>
      <c r="G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51" t="s">
        <v>64</v>
      </c>
      <c r="E170" s="8" t="s">
        <v>65</v>
      </c>
      <c r="N170" s="7"/>
      <c r="O170" s="7"/>
      <c r="P170" s="7"/>
      <c r="Q170" s="7"/>
      <c r="R170" s="7"/>
      <c r="S170" s="7"/>
      <c r="T170" s="7"/>
      <c r="U170" s="7"/>
      <c r="V170" s="7"/>
      <c r="W170" s="7"/>
      <c r="X170" s="7"/>
      <c r="Y170" s="7"/>
      <c r="Z170" s="7"/>
    </row>
    <row r="171" ht="14.25" customHeight="1">
      <c r="A171" s="7"/>
      <c r="B171" s="82" t="str">
        <f>'Matrix - Part 6'!I27</f>
        <v>0</v>
      </c>
      <c r="E171" s="83" t="str">
        <f>VLOOKUP(B171,'Matrix - Part 6'!A34:B63,2,FALSE)</f>
        <v>#N/A</v>
      </c>
      <c r="F171" s="84"/>
      <c r="G171" s="84"/>
      <c r="H171" s="84"/>
      <c r="I171" s="84"/>
      <c r="J171" s="84"/>
      <c r="K171" s="84"/>
      <c r="L171" s="84"/>
      <c r="M171" s="85"/>
      <c r="N171" s="7"/>
      <c r="O171" s="7"/>
      <c r="P171" s="7"/>
      <c r="Q171" s="7"/>
      <c r="R171" s="7"/>
      <c r="S171" s="7"/>
      <c r="T171" s="7"/>
      <c r="U171" s="7"/>
      <c r="V171" s="7"/>
      <c r="W171" s="7"/>
      <c r="X171" s="7"/>
      <c r="Y171" s="7"/>
      <c r="Z171" s="7"/>
    </row>
    <row r="172" ht="14.25" customHeight="1">
      <c r="A172" s="7"/>
      <c r="E172" s="86"/>
      <c r="M172" s="87"/>
      <c r="N172" s="7"/>
      <c r="O172" s="7"/>
      <c r="P172" s="7"/>
      <c r="Q172" s="7"/>
      <c r="R172" s="7"/>
      <c r="S172" s="7"/>
      <c r="T172" s="7"/>
      <c r="U172" s="7"/>
      <c r="V172" s="7"/>
      <c r="W172" s="7"/>
      <c r="X172" s="7"/>
      <c r="Y172" s="7"/>
      <c r="Z172" s="7"/>
    </row>
    <row r="173" ht="14.25" customHeight="1">
      <c r="A173" s="7"/>
      <c r="E173" s="88"/>
      <c r="F173" s="89"/>
      <c r="G173" s="89"/>
      <c r="H173" s="89"/>
      <c r="I173" s="89"/>
      <c r="J173" s="89"/>
      <c r="K173" s="89"/>
      <c r="L173" s="89"/>
      <c r="M173" s="90"/>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91" t="s">
        <v>66</v>
      </c>
      <c r="C175" s="14"/>
      <c r="D175" s="14"/>
      <c r="E175" s="15"/>
      <c r="F175" s="92" t="s">
        <v>67</v>
      </c>
      <c r="G175" s="14"/>
      <c r="H175" s="14"/>
      <c r="I175" s="15"/>
      <c r="J175" s="93" t="s">
        <v>68</v>
      </c>
      <c r="K175" s="14"/>
      <c r="L175" s="14"/>
      <c r="M175" s="15"/>
      <c r="N175" s="7"/>
      <c r="O175" s="7"/>
      <c r="P175" s="7"/>
      <c r="Q175" s="7"/>
      <c r="R175" s="7"/>
      <c r="S175" s="7"/>
      <c r="T175" s="7"/>
      <c r="U175" s="7"/>
      <c r="V175" s="7"/>
      <c r="W175" s="7"/>
      <c r="X175" s="7"/>
      <c r="Y175" s="7"/>
      <c r="Z175" s="7"/>
    </row>
    <row r="176" ht="15.0" customHeight="1">
      <c r="A176" s="7"/>
      <c r="B176" s="94" t="str">
        <f>CLEAN(IFERROR(VLOOKUP('Matrix - Part 6'!I5,'Matrix - Part 6'!G6:H6,2,FALSE),""))&amp;CHAR(10)&amp;IFERROR(VLOOKUP('Matrix - Part 6'!I8,'Matrix - Part 6'!G10:H10,2,FALSE),"")</f>
        <v>
</v>
      </c>
      <c r="C176" s="95"/>
      <c r="D176" s="95"/>
      <c r="E176" s="96"/>
      <c r="F176" s="94" t="str">
        <f>CLEAN(IFERROR(VLOOKUP('Matrix - Part 6'!I5,'Matrix - Part 6'!G5:H5,2,FALSE),""))&amp;CHAR(10)&amp;IFERROR(VLOOKUP('Matrix - Part 6'!I12,'Matrix - Part 6'!G13:H13,2,FALSE),"")&amp;CHAR(10)&amp;IFERROR(VLOOKUP('Matrix - Part 6'!I15,'Matrix - Part 6'!G16:H16,2,FALSE),"")</f>
        <v>
</v>
      </c>
      <c r="G176" s="95"/>
      <c r="H176" s="95"/>
      <c r="I176" s="96"/>
      <c r="J176" s="94" t="str">
        <f>CLEAN(IFERROR(VLOOKUP('Matrix - Part 6'!I8,'Matrix - Part 6'!G9:H9,2,FALSE),""))</f>
        <v/>
      </c>
      <c r="K176" s="95"/>
      <c r="L176" s="95"/>
      <c r="M176" s="96"/>
      <c r="N176" s="7"/>
      <c r="O176" s="7"/>
      <c r="P176" s="7"/>
      <c r="Q176" s="7"/>
      <c r="R176" s="7"/>
      <c r="S176" s="7"/>
      <c r="T176" s="7"/>
      <c r="U176" s="7"/>
      <c r="V176" s="7"/>
      <c r="W176" s="7"/>
      <c r="X176" s="7"/>
      <c r="Y176" s="7"/>
      <c r="Z176" s="7"/>
    </row>
    <row r="177" ht="14.25" customHeight="1">
      <c r="A177" s="7"/>
      <c r="B177" s="97"/>
      <c r="E177" s="67"/>
      <c r="F177" s="97"/>
      <c r="I177" s="67"/>
      <c r="J177" s="97"/>
      <c r="M177" s="67"/>
      <c r="N177" s="7"/>
      <c r="O177" s="7"/>
      <c r="P177" s="7"/>
      <c r="Q177" s="7"/>
      <c r="R177" s="7"/>
      <c r="S177" s="7"/>
      <c r="T177" s="7"/>
      <c r="U177" s="7"/>
      <c r="V177" s="7"/>
      <c r="W177" s="7"/>
      <c r="X177" s="7"/>
      <c r="Y177" s="7"/>
      <c r="Z177" s="7"/>
    </row>
    <row r="178" ht="14.25" customHeight="1">
      <c r="A178" s="7"/>
      <c r="B178" s="97"/>
      <c r="E178" s="67"/>
      <c r="F178" s="97"/>
      <c r="I178" s="67"/>
      <c r="J178" s="97"/>
      <c r="M178" s="67"/>
      <c r="N178" s="7"/>
      <c r="O178" s="7"/>
      <c r="P178" s="7"/>
      <c r="Q178" s="7"/>
      <c r="R178" s="7"/>
      <c r="S178" s="7"/>
      <c r="T178" s="7"/>
      <c r="U178" s="7"/>
      <c r="V178" s="7"/>
      <c r="W178" s="7"/>
      <c r="X178" s="7"/>
      <c r="Y178" s="7"/>
      <c r="Z178" s="7"/>
    </row>
    <row r="179" ht="14.25" customHeight="1">
      <c r="A179" s="7"/>
      <c r="B179" s="97"/>
      <c r="E179" s="67"/>
      <c r="F179" s="97"/>
      <c r="I179" s="67"/>
      <c r="J179" s="97"/>
      <c r="M179" s="67"/>
      <c r="N179" s="7"/>
      <c r="O179" s="7"/>
      <c r="P179" s="7"/>
      <c r="Q179" s="7"/>
      <c r="R179" s="7"/>
      <c r="S179" s="7"/>
      <c r="T179" s="7"/>
      <c r="U179" s="7"/>
      <c r="V179" s="7"/>
      <c r="W179" s="7"/>
      <c r="X179" s="7"/>
      <c r="Y179" s="7"/>
      <c r="Z179" s="7"/>
    </row>
    <row r="180" ht="14.25" customHeight="1">
      <c r="A180" s="7"/>
      <c r="B180" s="97"/>
      <c r="E180" s="67"/>
      <c r="F180" s="97"/>
      <c r="I180" s="67"/>
      <c r="J180" s="97"/>
      <c r="M180" s="67"/>
      <c r="N180" s="7"/>
      <c r="O180" s="7"/>
      <c r="P180" s="7"/>
      <c r="Q180" s="7"/>
      <c r="R180" s="7"/>
      <c r="S180" s="7"/>
      <c r="T180" s="7"/>
      <c r="U180" s="7"/>
      <c r="V180" s="7"/>
      <c r="W180" s="7"/>
      <c r="X180" s="7"/>
      <c r="Y180" s="7"/>
      <c r="Z180" s="7"/>
    </row>
    <row r="181" ht="14.25" customHeight="1">
      <c r="A181" s="7"/>
      <c r="B181" s="97"/>
      <c r="E181" s="67"/>
      <c r="F181" s="97"/>
      <c r="I181" s="67"/>
      <c r="J181" s="97"/>
      <c r="M181" s="67"/>
      <c r="N181" s="7"/>
      <c r="O181" s="7"/>
      <c r="P181" s="7"/>
      <c r="Q181" s="7"/>
      <c r="R181" s="7"/>
      <c r="S181" s="7"/>
      <c r="T181" s="7"/>
      <c r="U181" s="7"/>
      <c r="V181" s="7"/>
      <c r="W181" s="7"/>
      <c r="X181" s="7"/>
      <c r="Y181" s="7"/>
      <c r="Z181" s="7"/>
    </row>
    <row r="182" ht="14.25" customHeight="1">
      <c r="A182" s="7"/>
      <c r="B182" s="97"/>
      <c r="E182" s="67"/>
      <c r="F182" s="97"/>
      <c r="I182" s="67"/>
      <c r="J182" s="97"/>
      <c r="M182" s="67"/>
      <c r="N182" s="7"/>
      <c r="O182" s="7"/>
      <c r="P182" s="7"/>
      <c r="Q182" s="7"/>
      <c r="R182" s="7"/>
      <c r="S182" s="7"/>
      <c r="T182" s="7"/>
      <c r="U182" s="7"/>
      <c r="V182" s="7"/>
      <c r="W182" s="7"/>
      <c r="X182" s="7"/>
      <c r="Y182" s="7"/>
      <c r="Z182" s="7"/>
    </row>
    <row r="183" ht="14.25" customHeight="1">
      <c r="A183" s="7"/>
      <c r="B183" s="97"/>
      <c r="E183" s="67"/>
      <c r="F183" s="97"/>
      <c r="I183" s="67"/>
      <c r="J183" s="97"/>
      <c r="M183" s="67"/>
      <c r="N183" s="7"/>
      <c r="O183" s="7"/>
      <c r="P183" s="7"/>
      <c r="Q183" s="7"/>
      <c r="R183" s="7"/>
      <c r="S183" s="7"/>
      <c r="T183" s="7"/>
      <c r="U183" s="7"/>
      <c r="V183" s="7"/>
      <c r="W183" s="7"/>
      <c r="X183" s="7"/>
      <c r="Y183" s="7"/>
      <c r="Z183" s="7"/>
    </row>
    <row r="184" ht="14.25" customHeight="1">
      <c r="A184" s="7"/>
      <c r="B184" s="97"/>
      <c r="E184" s="67"/>
      <c r="F184" s="97"/>
      <c r="I184" s="67"/>
      <c r="J184" s="97"/>
      <c r="M184" s="67"/>
      <c r="N184" s="7"/>
      <c r="O184" s="7"/>
      <c r="P184" s="7"/>
      <c r="Q184" s="7"/>
      <c r="R184" s="7"/>
      <c r="S184" s="7"/>
      <c r="T184" s="7"/>
      <c r="U184" s="7"/>
      <c r="V184" s="7"/>
      <c r="W184" s="7"/>
      <c r="X184" s="7"/>
      <c r="Y184" s="7"/>
      <c r="Z184" s="7"/>
    </row>
    <row r="185" ht="14.25" customHeight="1">
      <c r="A185" s="7"/>
      <c r="B185" s="97"/>
      <c r="E185" s="67"/>
      <c r="F185" s="97"/>
      <c r="I185" s="67"/>
      <c r="J185" s="97"/>
      <c r="M185" s="67"/>
      <c r="N185" s="7"/>
      <c r="O185" s="7"/>
      <c r="P185" s="7"/>
      <c r="Q185" s="7"/>
      <c r="R185" s="7"/>
      <c r="S185" s="7"/>
      <c r="T185" s="7"/>
      <c r="U185" s="7"/>
      <c r="V185" s="7"/>
      <c r="W185" s="7"/>
      <c r="X185" s="7"/>
      <c r="Y185" s="7"/>
      <c r="Z185" s="7"/>
    </row>
    <row r="186" ht="14.25" customHeight="1">
      <c r="A186" s="7"/>
      <c r="B186" s="97"/>
      <c r="E186" s="67"/>
      <c r="F186" s="97"/>
      <c r="I186" s="67"/>
      <c r="J186" s="97"/>
      <c r="M186" s="67"/>
      <c r="N186" s="7"/>
      <c r="O186" s="7"/>
      <c r="P186" s="7"/>
      <c r="Q186" s="7"/>
      <c r="R186" s="7"/>
      <c r="S186" s="7"/>
      <c r="T186" s="7"/>
      <c r="U186" s="7"/>
      <c r="V186" s="7"/>
      <c r="W186" s="7"/>
      <c r="X186" s="7"/>
      <c r="Y186" s="7"/>
      <c r="Z186" s="7"/>
    </row>
    <row r="187" ht="14.25" customHeight="1">
      <c r="A187" s="7"/>
      <c r="B187" s="97"/>
      <c r="E187" s="67"/>
      <c r="F187" s="97"/>
      <c r="I187" s="67"/>
      <c r="J187" s="97"/>
      <c r="M187" s="67"/>
      <c r="N187" s="7"/>
      <c r="O187" s="7"/>
      <c r="P187" s="7"/>
      <c r="Q187" s="7"/>
      <c r="R187" s="7"/>
      <c r="S187" s="7"/>
      <c r="T187" s="7"/>
      <c r="U187" s="7"/>
      <c r="V187" s="7"/>
      <c r="W187" s="7"/>
      <c r="X187" s="7"/>
      <c r="Y187" s="7"/>
      <c r="Z187" s="7"/>
    </row>
    <row r="188" ht="14.25" customHeight="1">
      <c r="A188" s="7"/>
      <c r="B188" s="97"/>
      <c r="E188" s="67"/>
      <c r="F188" s="97"/>
      <c r="I188" s="67"/>
      <c r="J188" s="97"/>
      <c r="M188" s="67"/>
      <c r="N188" s="7"/>
      <c r="O188" s="7"/>
      <c r="P188" s="7"/>
      <c r="Q188" s="7"/>
      <c r="R188" s="7"/>
      <c r="S188" s="7"/>
      <c r="T188" s="7"/>
      <c r="U188" s="7"/>
      <c r="V188" s="7"/>
      <c r="W188" s="7"/>
      <c r="X188" s="7"/>
      <c r="Y188" s="7"/>
      <c r="Z188" s="7"/>
    </row>
    <row r="189" ht="14.25" customHeight="1">
      <c r="A189" s="7"/>
      <c r="B189" s="97"/>
      <c r="E189" s="67"/>
      <c r="F189" s="97"/>
      <c r="I189" s="67"/>
      <c r="J189" s="97"/>
      <c r="M189" s="67"/>
      <c r="N189" s="7"/>
      <c r="O189" s="7"/>
      <c r="P189" s="7"/>
      <c r="Q189" s="7"/>
      <c r="R189" s="7"/>
      <c r="S189" s="7"/>
      <c r="T189" s="7"/>
      <c r="U189" s="7"/>
      <c r="V189" s="7"/>
      <c r="W189" s="7"/>
      <c r="X189" s="7"/>
      <c r="Y189" s="7"/>
      <c r="Z189" s="7"/>
    </row>
    <row r="190" ht="14.25" customHeight="1">
      <c r="A190" s="7"/>
      <c r="B190" s="97"/>
      <c r="E190" s="67"/>
      <c r="F190" s="97"/>
      <c r="I190" s="67"/>
      <c r="J190" s="97"/>
      <c r="M190" s="67"/>
      <c r="N190" s="7"/>
      <c r="O190" s="7"/>
      <c r="P190" s="7"/>
      <c r="Q190" s="7"/>
      <c r="R190" s="7"/>
      <c r="S190" s="7"/>
      <c r="T190" s="7"/>
      <c r="U190" s="7"/>
      <c r="V190" s="7"/>
      <c r="W190" s="7"/>
      <c r="X190" s="7"/>
      <c r="Y190" s="7"/>
      <c r="Z190" s="7"/>
    </row>
    <row r="191" ht="14.25" customHeight="1">
      <c r="A191" s="7"/>
      <c r="B191" s="97"/>
      <c r="E191" s="67"/>
      <c r="F191" s="97"/>
      <c r="I191" s="67"/>
      <c r="J191" s="97"/>
      <c r="M191" s="67"/>
      <c r="N191" s="7"/>
      <c r="O191" s="7"/>
      <c r="P191" s="7"/>
      <c r="Q191" s="7"/>
      <c r="R191" s="7"/>
      <c r="S191" s="7"/>
      <c r="T191" s="7"/>
      <c r="U191" s="7"/>
      <c r="V191" s="7"/>
      <c r="W191" s="7"/>
      <c r="X191" s="7"/>
      <c r="Y191" s="7"/>
      <c r="Z191" s="7"/>
    </row>
    <row r="192" ht="14.25" customHeight="1">
      <c r="A192" s="7"/>
      <c r="B192" s="97"/>
      <c r="E192" s="67"/>
      <c r="F192" s="97"/>
      <c r="I192" s="67"/>
      <c r="J192" s="97"/>
      <c r="M192" s="67"/>
      <c r="N192" s="7"/>
      <c r="O192" s="7"/>
      <c r="P192" s="7"/>
      <c r="Q192" s="7"/>
      <c r="R192" s="7"/>
      <c r="S192" s="7"/>
      <c r="T192" s="7"/>
      <c r="U192" s="7"/>
      <c r="V192" s="7"/>
      <c r="W192" s="7"/>
      <c r="X192" s="7"/>
      <c r="Y192" s="7"/>
      <c r="Z192" s="7"/>
    </row>
    <row r="193" ht="14.25" customHeight="1">
      <c r="A193" s="7"/>
      <c r="B193" s="97"/>
      <c r="E193" s="67"/>
      <c r="F193" s="97"/>
      <c r="I193" s="67"/>
      <c r="J193" s="97"/>
      <c r="M193" s="67"/>
      <c r="N193" s="7"/>
      <c r="O193" s="7"/>
      <c r="P193" s="7"/>
      <c r="Q193" s="7"/>
      <c r="R193" s="7"/>
      <c r="S193" s="7"/>
      <c r="T193" s="7"/>
      <c r="U193" s="7"/>
      <c r="V193" s="7"/>
      <c r="W193" s="7"/>
      <c r="X193" s="7"/>
      <c r="Y193" s="7"/>
      <c r="Z193" s="7"/>
    </row>
    <row r="194" ht="14.25" customHeight="1">
      <c r="A194" s="7"/>
      <c r="B194" s="98"/>
      <c r="C194" s="89"/>
      <c r="D194" s="89"/>
      <c r="E194" s="99"/>
      <c r="F194" s="98"/>
      <c r="G194" s="89"/>
      <c r="H194" s="89"/>
      <c r="I194" s="99"/>
      <c r="J194" s="98"/>
      <c r="K194" s="89"/>
      <c r="L194" s="89"/>
      <c r="M194" s="99"/>
      <c r="N194" s="7"/>
      <c r="O194" s="7"/>
      <c r="P194" s="7"/>
      <c r="Q194" s="7"/>
      <c r="R194" s="7"/>
      <c r="S194" s="7"/>
      <c r="T194" s="7"/>
      <c r="U194" s="7"/>
      <c r="V194" s="7"/>
      <c r="W194" s="7"/>
      <c r="X194" s="7"/>
      <c r="Y194" s="7"/>
      <c r="Z194" s="7"/>
    </row>
    <row r="195" ht="14.25" customHeight="1">
      <c r="A195" s="7"/>
      <c r="B195" s="102"/>
      <c r="M195" s="67"/>
      <c r="N195" s="7"/>
      <c r="O195" s="7"/>
      <c r="P195" s="7"/>
      <c r="Q195" s="7"/>
      <c r="R195" s="7"/>
      <c r="S195" s="7"/>
      <c r="T195" s="7"/>
      <c r="U195" s="7"/>
      <c r="V195" s="7"/>
      <c r="W195" s="7"/>
      <c r="X195" s="7"/>
      <c r="Y195" s="7"/>
      <c r="Z195" s="7"/>
    </row>
    <row r="196" ht="14.25" customHeight="1">
      <c r="A196" s="7"/>
      <c r="B196" s="97"/>
      <c r="M196" s="67"/>
      <c r="N196" s="7"/>
      <c r="O196" s="7"/>
      <c r="P196" s="7"/>
      <c r="Q196" s="7"/>
      <c r="R196" s="7"/>
      <c r="S196" s="7"/>
      <c r="T196" s="7"/>
      <c r="U196" s="7"/>
      <c r="V196" s="7"/>
      <c r="W196" s="7"/>
      <c r="X196" s="7"/>
      <c r="Y196" s="7"/>
      <c r="Z196" s="7"/>
    </row>
    <row r="197" ht="14.25" customHeight="1">
      <c r="A197" s="7"/>
      <c r="B197" s="97"/>
      <c r="M197" s="67"/>
      <c r="N197" s="7"/>
      <c r="O197" s="7"/>
      <c r="P197" s="7"/>
      <c r="Q197" s="7"/>
      <c r="R197" s="7"/>
      <c r="S197" s="7"/>
      <c r="T197" s="7"/>
      <c r="U197" s="7"/>
      <c r="V197" s="7"/>
      <c r="W197" s="7"/>
      <c r="X197" s="7"/>
      <c r="Y197" s="7"/>
      <c r="Z197" s="7"/>
    </row>
    <row r="198" ht="14.25" customHeight="1">
      <c r="A198" s="7"/>
      <c r="B198" s="97"/>
      <c r="M198" s="6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76">
    <mergeCell ref="H100:M102"/>
    <mergeCell ref="B104:D104"/>
    <mergeCell ref="E104:M104"/>
    <mergeCell ref="B105:D107"/>
    <mergeCell ref="E105:M107"/>
    <mergeCell ref="B109:E109"/>
    <mergeCell ref="J109:M109"/>
    <mergeCell ref="F109:I109"/>
    <mergeCell ref="F110:I128"/>
    <mergeCell ref="J110:M128"/>
    <mergeCell ref="B129:M132"/>
    <mergeCell ref="H133:M135"/>
    <mergeCell ref="B137:D137"/>
    <mergeCell ref="E137:M137"/>
    <mergeCell ref="F175:I175"/>
    <mergeCell ref="J175:M175"/>
    <mergeCell ref="B176:E194"/>
    <mergeCell ref="F176:I194"/>
    <mergeCell ref="J176:M194"/>
    <mergeCell ref="B195:M198"/>
    <mergeCell ref="B162:M165"/>
    <mergeCell ref="H166:M168"/>
    <mergeCell ref="B170:D170"/>
    <mergeCell ref="E170:M170"/>
    <mergeCell ref="B171:D173"/>
    <mergeCell ref="E171:M173"/>
    <mergeCell ref="B175:E175"/>
    <mergeCell ref="H1:M3"/>
    <mergeCell ref="B4:J4"/>
    <mergeCell ref="B5:M8"/>
    <mergeCell ref="B10:M10"/>
    <mergeCell ref="D12:H12"/>
    <mergeCell ref="I12:J12"/>
    <mergeCell ref="I13:J13"/>
    <mergeCell ref="D13:H13"/>
    <mergeCell ref="D14:H14"/>
    <mergeCell ref="I14:J14"/>
    <mergeCell ref="B16:M16"/>
    <mergeCell ref="B18:M19"/>
    <mergeCell ref="H21:M29"/>
    <mergeCell ref="A30:N30"/>
    <mergeCell ref="A31:N31"/>
    <mergeCell ref="A32:N32"/>
    <mergeCell ref="H34:M36"/>
    <mergeCell ref="B38:D38"/>
    <mergeCell ref="E38:M38"/>
    <mergeCell ref="B39:D41"/>
    <mergeCell ref="E39:M41"/>
    <mergeCell ref="B44:E62"/>
    <mergeCell ref="B71:D71"/>
    <mergeCell ref="B72:D74"/>
    <mergeCell ref="B76:E76"/>
    <mergeCell ref="B77:E95"/>
    <mergeCell ref="B110:E128"/>
    <mergeCell ref="B143:E161"/>
    <mergeCell ref="B43:E43"/>
    <mergeCell ref="F43:I43"/>
    <mergeCell ref="J43:M43"/>
    <mergeCell ref="F44:I62"/>
    <mergeCell ref="J44:M62"/>
    <mergeCell ref="B63:M66"/>
    <mergeCell ref="H67:M69"/>
    <mergeCell ref="E71:M71"/>
    <mergeCell ref="E72:M74"/>
    <mergeCell ref="F76:I76"/>
    <mergeCell ref="J76:M76"/>
    <mergeCell ref="F77:I95"/>
    <mergeCell ref="J77:M95"/>
    <mergeCell ref="B96:M99"/>
    <mergeCell ref="B138:D140"/>
    <mergeCell ref="E138:M140"/>
    <mergeCell ref="B142:E142"/>
    <mergeCell ref="F142:I142"/>
    <mergeCell ref="J142:M142"/>
    <mergeCell ref="F143:I161"/>
    <mergeCell ref="J143:M161"/>
  </mergeCells>
  <conditionalFormatting sqref="B105">
    <cfRule type="cellIs" dxfId="0" priority="1" operator="greaterThanOrEqual">
      <formula>3.5</formula>
    </cfRule>
  </conditionalFormatting>
  <conditionalFormatting sqref="B105">
    <cfRule type="cellIs" dxfId="1" priority="2" operator="between">
      <formula>2.4</formula>
      <formula>3.4</formula>
    </cfRule>
  </conditionalFormatting>
  <conditionalFormatting sqref="B105">
    <cfRule type="cellIs" dxfId="2" priority="3" operator="between">
      <formula>1.5</formula>
      <formula>2.3</formula>
    </cfRule>
  </conditionalFormatting>
  <conditionalFormatting sqref="B105">
    <cfRule type="cellIs" dxfId="3" priority="4" operator="lessThanOrEqual">
      <formula>1.4</formula>
    </cfRule>
  </conditionalFormatting>
  <conditionalFormatting sqref="B72">
    <cfRule type="cellIs" dxfId="0" priority="5" operator="greaterThanOrEqual">
      <formula>3.5</formula>
    </cfRule>
  </conditionalFormatting>
  <conditionalFormatting sqref="B72">
    <cfRule type="cellIs" dxfId="1" priority="6" operator="between">
      <formula>2.4</formula>
      <formula>3.4</formula>
    </cfRule>
  </conditionalFormatting>
  <conditionalFormatting sqref="B72">
    <cfRule type="cellIs" dxfId="2" priority="7" operator="between">
      <formula>1.5</formula>
      <formula>2.3</formula>
    </cfRule>
  </conditionalFormatting>
  <conditionalFormatting sqref="B72">
    <cfRule type="cellIs" dxfId="3" priority="8" operator="lessThanOrEqual">
      <formula>1.4</formula>
    </cfRule>
  </conditionalFormatting>
  <conditionalFormatting sqref="B138">
    <cfRule type="cellIs" dxfId="0" priority="9" operator="greaterThanOrEqual">
      <formula>3.5</formula>
    </cfRule>
  </conditionalFormatting>
  <conditionalFormatting sqref="B138">
    <cfRule type="cellIs" dxfId="1" priority="10" operator="between">
      <formula>2.4</formula>
      <formula>3.4</formula>
    </cfRule>
  </conditionalFormatting>
  <conditionalFormatting sqref="B138">
    <cfRule type="cellIs" dxfId="2" priority="11" operator="between">
      <formula>1.5</formula>
      <formula>2.3</formula>
    </cfRule>
  </conditionalFormatting>
  <conditionalFormatting sqref="B138">
    <cfRule type="cellIs" dxfId="3" priority="12" operator="lessThanOrEqual">
      <formula>1.4</formula>
    </cfRule>
  </conditionalFormatting>
  <conditionalFormatting sqref="B171">
    <cfRule type="cellIs" dxfId="0" priority="13" operator="greaterThanOrEqual">
      <formula>3.5</formula>
    </cfRule>
  </conditionalFormatting>
  <conditionalFormatting sqref="B171">
    <cfRule type="cellIs" dxfId="1" priority="14" operator="between">
      <formula>2.4</formula>
      <formula>3.4</formula>
    </cfRule>
  </conditionalFormatting>
  <conditionalFormatting sqref="B171">
    <cfRule type="cellIs" dxfId="2" priority="15" operator="between">
      <formula>1.5</formula>
      <formula>2.3</formula>
    </cfRule>
  </conditionalFormatting>
  <conditionalFormatting sqref="B171">
    <cfRule type="cellIs" dxfId="3" priority="16" operator="lessThanOrEqual">
      <formula>1.4</formula>
    </cfRule>
  </conditionalFormatting>
  <conditionalFormatting sqref="B39">
    <cfRule type="cellIs" dxfId="0" priority="17" operator="greaterThanOrEqual">
      <formula>3.5</formula>
    </cfRule>
  </conditionalFormatting>
  <conditionalFormatting sqref="B39">
    <cfRule type="cellIs" dxfId="1" priority="18" operator="between">
      <formula>2.4</formula>
      <formula>3.4</formula>
    </cfRule>
  </conditionalFormatting>
  <conditionalFormatting sqref="B39">
    <cfRule type="cellIs" dxfId="2" priority="19" operator="between">
      <formula>1.5</formula>
      <formula>2.3</formula>
    </cfRule>
  </conditionalFormatting>
  <conditionalFormatting sqref="B39">
    <cfRule type="cellIs" dxfId="3" priority="20" operator="lessThanOrEqual">
      <formula>1.4</formula>
    </cfRule>
  </conditionalFormatting>
  <printOptions/>
  <pageMargins bottom="0.75" footer="0.0" header="0.0" left="0.7" right="0.7" top="0.75"/>
  <pageSetup orientation="landscape"/>
  <headerFooter>
    <oddFooter>&amp;L &amp;R&amp;P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pageSetUpPr/>
  </sheetPr>
  <sheetViews>
    <sheetView workbookViewId="0"/>
  </sheetViews>
  <sheetFormatPr customHeight="1" defaultColWidth="14.43" defaultRowHeight="15.0"/>
  <cols>
    <col customWidth="1" min="1" max="26" width="8.71"/>
  </cols>
  <sheetData>
    <row r="1" ht="14.25" customHeight="1">
      <c r="H1" s="103"/>
      <c r="I1" s="103"/>
      <c r="J1" s="103"/>
      <c r="K1" s="103"/>
      <c r="M1" s="7"/>
    </row>
    <row r="2" ht="14.25" customHeight="1">
      <c r="F2" s="104" t="s">
        <v>77</v>
      </c>
      <c r="J2" s="103"/>
      <c r="L2" s="7"/>
    </row>
    <row r="3" ht="14.25" customHeight="1">
      <c r="J3" s="103"/>
      <c r="L3" s="7"/>
    </row>
    <row r="4" ht="14.25" customHeight="1">
      <c r="A4" s="7"/>
      <c r="B4" s="7"/>
      <c r="C4" s="7"/>
      <c r="D4" s="7"/>
      <c r="E4" s="7"/>
      <c r="J4" s="103"/>
      <c r="K4" s="7"/>
      <c r="L4" s="7"/>
      <c r="M4" s="7"/>
      <c r="N4" s="7"/>
      <c r="O4" s="7"/>
      <c r="P4" s="7"/>
      <c r="Q4" s="7"/>
      <c r="R4" s="7"/>
      <c r="S4" s="7"/>
      <c r="T4" s="7"/>
      <c r="U4" s="7"/>
      <c r="V4" s="7"/>
      <c r="W4" s="7"/>
      <c r="X4" s="7"/>
      <c r="Y4" s="7"/>
      <c r="Z4" s="7"/>
    </row>
    <row r="5" ht="14.25" customHeight="1">
      <c r="B5" s="73" t="s">
        <v>78</v>
      </c>
    </row>
    <row r="6" ht="14.25" customHeight="1">
      <c r="A6" s="7"/>
      <c r="N6" s="7"/>
      <c r="O6" s="7"/>
      <c r="P6" s="7"/>
      <c r="Q6" s="7"/>
      <c r="R6" s="7"/>
      <c r="S6" s="7"/>
      <c r="T6" s="7"/>
      <c r="U6" s="7"/>
      <c r="V6" s="7"/>
      <c r="W6" s="7"/>
      <c r="X6" s="7"/>
      <c r="Y6" s="7"/>
      <c r="Z6" s="7"/>
    </row>
    <row r="7" ht="14.25" customHeight="1">
      <c r="B7" s="6" t="str">
        <f>IFERROR("There are 4 risk groups included in this report, with each hazard classified into a risk group. A total of "&amp;'Supervisor Report Logic'!D24&amp;" known risks have been identified. Known risks include the hazards which are expected to cause musculoskeletal discomfort, pain and/or injury.","")</f>
        <v>There are 4 risk groups included in this report, with each hazard classified into a risk group. A total of 0 known risks have been identified. Known risks include the hazards which are expected to cause musculoskeletal discomfort, pain and/or injury.</v>
      </c>
    </row>
    <row r="8" ht="30.75" customHeight="1">
      <c r="A8" s="7"/>
      <c r="N8" s="7"/>
      <c r="O8" s="7"/>
      <c r="P8" s="7"/>
      <c r="Q8" s="7"/>
      <c r="R8" s="7"/>
      <c r="S8" s="7"/>
      <c r="T8" s="7"/>
      <c r="U8" s="7"/>
      <c r="V8" s="7"/>
      <c r="W8" s="7"/>
      <c r="X8" s="7"/>
      <c r="Y8" s="7"/>
      <c r="Z8" s="7"/>
    </row>
    <row r="9" ht="14.25" customHeight="1">
      <c r="B9" s="7"/>
      <c r="C9" s="105"/>
      <c r="D9" s="73" t="s">
        <v>79</v>
      </c>
      <c r="I9" s="73" t="s">
        <v>80</v>
      </c>
    </row>
    <row r="10" ht="14.25" customHeight="1">
      <c r="A10" s="7"/>
      <c r="B10" s="106" t="s">
        <v>81</v>
      </c>
      <c r="D10" s="78" t="str">
        <f>'Supervisor Report Logic'!C2</f>
        <v>When a worker has frequent localized contact with sharp edges/objects, tissues and nerves beneath the skin can be injured from the pressure.</v>
      </c>
      <c r="I10" s="78" t="str">
        <f>'ErgoCheck Report'!B44</f>
        <v>#ERROR!</v>
      </c>
    </row>
    <row r="11" ht="43.5" customHeight="1">
      <c r="A11" s="7"/>
    </row>
    <row r="12" ht="14.25" customHeight="1">
      <c r="B12" s="106" t="s">
        <v>82</v>
      </c>
      <c r="D12" s="78" t="str">
        <f>'Supervisor Report Logic'!C5</f>
        <v>When a worker moves (lifts, pushes, pulls, carries or supports) objects, muscles and tendons can be overloaded when a strong force is applied against the object, or when a weak force is applied many times over a long period of time. </v>
      </c>
      <c r="I12" s="78" t="str">
        <f>'ErgoCheck Report'!B77</f>
        <v/>
      </c>
    </row>
    <row r="13" ht="14.25" customHeight="1"/>
    <row r="14" ht="52.5" customHeight="1"/>
    <row r="15" ht="14.25" customHeight="1">
      <c r="B15" s="106" t="s">
        <v>83</v>
      </c>
      <c r="D15" s="78" t="str">
        <f>'Supervisor Report Logic'!C8</f>
        <v>When a workers body position requires joints, such as the neck or wrist, to be twisted, bent or rotated away from a neutral position muscles operate less efficiently and create additional stress which can lead to  injuries which normally would not occur. </v>
      </c>
      <c r="I15" s="78" t="str">
        <f>'ErgoCheck Report'!B110</f>
        <v/>
      </c>
    </row>
    <row r="16" ht="14.25" customHeight="1"/>
    <row r="17" ht="85.5" customHeight="1"/>
    <row r="18" ht="14.25" customHeight="1">
      <c r="B18" s="106" t="s">
        <v>84</v>
      </c>
      <c r="D18" s="78" t="str">
        <f>'Supervisor Report Logic'!C15</f>
        <v>When a worker performs similar motions using the same muscles with little or no variation, they are exposed to repetition.  They may also be exposed to common risks such as heavy lifting, or awkward postures and their body often cannot manage the added physical strain which can lead to an injury. </v>
      </c>
      <c r="I18" s="78" t="str">
        <f>'ErgoCheck Report'!B143</f>
        <v/>
      </c>
    </row>
    <row r="19" ht="14.25" customHeight="1"/>
    <row r="20" ht="14.25" customHeight="1"/>
    <row r="21" ht="52.5" customHeight="1"/>
    <row r="22" ht="14.25" customHeight="1">
      <c r="A22" s="7"/>
      <c r="B22" s="106"/>
      <c r="C22" s="106"/>
      <c r="D22" s="78"/>
      <c r="E22" s="78"/>
      <c r="F22" s="78"/>
      <c r="G22" s="78"/>
      <c r="H22" s="78"/>
      <c r="I22" s="78"/>
      <c r="J22" s="78"/>
      <c r="K22" s="78"/>
      <c r="L22" s="78"/>
      <c r="M22" s="78"/>
      <c r="N22" s="7"/>
      <c r="O22" s="7"/>
      <c r="P22" s="7"/>
      <c r="Q22" s="7"/>
      <c r="R22" s="7"/>
      <c r="S22" s="7"/>
      <c r="T22" s="7"/>
      <c r="U22" s="7"/>
      <c r="V22" s="7"/>
      <c r="W22" s="7"/>
      <c r="X22" s="7"/>
      <c r="Y22" s="7"/>
      <c r="Z22" s="7"/>
    </row>
    <row r="23" ht="14.25" customHeight="1">
      <c r="B23" s="73" t="s">
        <v>85</v>
      </c>
    </row>
    <row r="24" ht="14.25" customHeight="1"/>
    <row r="25" ht="14.25" customHeight="1">
      <c r="B25" s="7"/>
      <c r="C25" s="7"/>
      <c r="D25" s="7"/>
      <c r="E25" s="7"/>
      <c r="F25" s="7"/>
      <c r="G25" s="7"/>
      <c r="H25" s="7"/>
      <c r="I25" s="7"/>
      <c r="J25" s="7"/>
      <c r="K25" s="7"/>
      <c r="L25" s="7"/>
      <c r="M25" s="7"/>
    </row>
    <row r="26" ht="14.25" customHeight="1">
      <c r="B26" s="59" t="s">
        <v>86</v>
      </c>
    </row>
    <row r="27" ht="14.25" customHeight="1"/>
    <row r="28" ht="14.25" customHeight="1">
      <c r="B28" s="7"/>
      <c r="C28" s="7"/>
      <c r="D28" s="7"/>
      <c r="E28" s="7"/>
      <c r="F28" s="7"/>
      <c r="G28" s="7"/>
      <c r="H28" s="7"/>
      <c r="I28" s="7"/>
      <c r="J28" s="7"/>
      <c r="K28" s="7"/>
      <c r="L28" s="7"/>
      <c r="M28" s="7"/>
    </row>
    <row r="29" ht="30.0" hidden="1" customHeight="1">
      <c r="B29" s="106" t="s">
        <v>81</v>
      </c>
      <c r="D29" s="6" t="str">
        <f>(IF('Supervisor Report Logic'!B2="","",'Supervisor Report Logic'!D2))</f>
        <v/>
      </c>
    </row>
    <row r="30" ht="30.0" hidden="1" customHeight="1">
      <c r="D30" s="6" t="str">
        <f>IF('Supervisor Report Logic'!B3="","",'Supervisor Report Logic'!D3)</f>
        <v/>
      </c>
    </row>
    <row r="31" ht="33.75" hidden="1" customHeight="1">
      <c r="D31" s="6" t="str">
        <f>IF('Supervisor Report Logic'!B4="","",'Supervisor Report Logic'!D4)</f>
        <v/>
      </c>
    </row>
    <row r="32" ht="14.25" customHeight="1">
      <c r="A32" s="7"/>
      <c r="B32" s="106"/>
      <c r="C32" s="106"/>
      <c r="D32" s="6"/>
      <c r="E32" s="6"/>
      <c r="F32" s="6"/>
      <c r="G32" s="6"/>
      <c r="H32" s="6"/>
      <c r="I32" s="6"/>
      <c r="J32" s="6"/>
      <c r="K32" s="6"/>
      <c r="L32" s="6"/>
      <c r="M32" s="6"/>
      <c r="N32" s="7"/>
      <c r="O32" s="7"/>
      <c r="P32" s="7"/>
      <c r="Q32" s="7"/>
      <c r="R32" s="7"/>
      <c r="S32" s="7"/>
      <c r="T32" s="7"/>
      <c r="U32" s="7"/>
      <c r="V32" s="7"/>
      <c r="W32" s="7"/>
      <c r="X32" s="7"/>
      <c r="Y32" s="7"/>
      <c r="Z32" s="7"/>
    </row>
    <row r="33" ht="41.25" hidden="1" customHeight="1">
      <c r="A33" s="7"/>
      <c r="B33" s="106" t="s">
        <v>82</v>
      </c>
      <c r="D33" s="6" t="str">
        <f>(IF('Supervisor Report Logic'!B5="","",'Supervisor Report Logic'!D5))</f>
        <v/>
      </c>
      <c r="N33" s="7"/>
      <c r="O33" s="7"/>
      <c r="P33" s="7"/>
      <c r="Q33" s="7"/>
      <c r="R33" s="7"/>
      <c r="S33" s="7"/>
      <c r="T33" s="7"/>
      <c r="U33" s="7"/>
      <c r="V33" s="7"/>
      <c r="W33" s="7"/>
      <c r="X33" s="7"/>
      <c r="Y33" s="7"/>
      <c r="Z33" s="7"/>
    </row>
    <row r="34" ht="27.75" hidden="1" customHeight="1">
      <c r="A34" s="7"/>
      <c r="D34" s="6" t="str">
        <f>IF('Supervisor Report Logic'!B6="","",'Supervisor Report Logic'!D6)</f>
        <v/>
      </c>
      <c r="N34" s="7"/>
      <c r="O34" s="7"/>
      <c r="P34" s="7"/>
      <c r="Q34" s="7"/>
      <c r="R34" s="7"/>
      <c r="S34" s="7"/>
      <c r="T34" s="7"/>
      <c r="U34" s="7"/>
      <c r="V34" s="7"/>
      <c r="W34" s="7"/>
      <c r="X34" s="7"/>
      <c r="Y34" s="7"/>
      <c r="Z34" s="7"/>
    </row>
    <row r="35" ht="43.5" hidden="1" customHeight="1">
      <c r="D35" s="6" t="str">
        <f>IF('Supervisor Report Logic'!B7="","",'Supervisor Report Logic'!D7)</f>
        <v/>
      </c>
    </row>
    <row r="36" ht="14.25" customHeight="1">
      <c r="B36" s="106"/>
      <c r="C36" s="106"/>
      <c r="D36" s="77"/>
      <c r="E36" s="77"/>
      <c r="F36" s="77"/>
      <c r="G36" s="77"/>
      <c r="H36" s="77"/>
      <c r="I36" s="77"/>
      <c r="J36" s="77"/>
      <c r="K36" s="77"/>
      <c r="L36" s="77"/>
      <c r="M36" s="77"/>
    </row>
    <row r="37" ht="42.0" hidden="1" customHeight="1">
      <c r="B37" s="106" t="s">
        <v>83</v>
      </c>
      <c r="D37" s="6" t="str">
        <f>(IF('Supervisor Report Logic'!B8="","",'Supervisor Report Logic'!D8))</f>
        <v/>
      </c>
    </row>
    <row r="38" ht="42.0" hidden="1" customHeight="1">
      <c r="D38" s="77" t="str">
        <f>(IF('Supervisor Report Logic'!B9="","",'Supervisor Report Logic'!D9))</f>
        <v/>
      </c>
    </row>
    <row r="39" ht="31.5" hidden="1" customHeight="1">
      <c r="D39" s="77" t="str">
        <f>(IF('Supervisor Report Logic'!B10="","",'Supervisor Report Logic'!D10))</f>
        <v/>
      </c>
    </row>
    <row r="40" ht="47.25" hidden="1" customHeight="1">
      <c r="D40" s="77" t="str">
        <f>(IF('Supervisor Report Logic'!B11="","",'Supervisor Report Logic'!D11))</f>
        <v/>
      </c>
    </row>
    <row r="41" ht="45.0" hidden="1" customHeight="1">
      <c r="D41" s="77" t="str">
        <f>(IF('Supervisor Report Logic'!B12="","",'Supervisor Report Logic'!D12))</f>
        <v/>
      </c>
    </row>
    <row r="42" ht="40.5" hidden="1" customHeight="1">
      <c r="D42" s="77" t="str">
        <f>(IF('Supervisor Report Logic'!B13="","",'Supervisor Report Logic'!D13))</f>
        <v/>
      </c>
    </row>
    <row r="43" ht="45.0" hidden="1" customHeight="1">
      <c r="D43" s="77" t="str">
        <f>(IF('Supervisor Report Logic'!B14="","",'Supervisor Report Logic'!D14))</f>
        <v/>
      </c>
    </row>
    <row r="44" ht="14.25" customHeight="1">
      <c r="B44" s="106"/>
      <c r="C44" s="106"/>
      <c r="D44" s="77"/>
      <c r="E44" s="77"/>
      <c r="F44" s="77"/>
      <c r="G44" s="77"/>
      <c r="H44" s="77"/>
      <c r="I44" s="77"/>
      <c r="J44" s="77"/>
      <c r="K44" s="77"/>
      <c r="L44" s="77"/>
      <c r="M44" s="77"/>
    </row>
    <row r="45" ht="31.5" hidden="1" customHeight="1">
      <c r="B45" s="106" t="s">
        <v>87</v>
      </c>
      <c r="D45" s="6" t="str">
        <f>(IF('Supervisor Report Logic'!B15="","",'Supervisor Report Logic'!D15))</f>
        <v/>
      </c>
    </row>
    <row r="46" ht="30.0" hidden="1" customHeight="1">
      <c r="D46" s="6" t="str">
        <f>(IF('Supervisor Report Logic'!B16="","",'Supervisor Report Logic'!D16))</f>
        <v/>
      </c>
    </row>
    <row r="47" ht="14.25" customHeight="1">
      <c r="B47" s="105"/>
      <c r="C47" s="105"/>
      <c r="D47" s="77"/>
      <c r="E47" s="77"/>
      <c r="F47" s="77"/>
      <c r="G47" s="77"/>
      <c r="H47" s="77"/>
      <c r="I47" s="77"/>
      <c r="J47" s="77"/>
      <c r="K47" s="77"/>
      <c r="L47" s="77"/>
      <c r="M47" s="77"/>
    </row>
    <row r="48" ht="14.25" customHeight="1">
      <c r="B48" s="105"/>
      <c r="C48" s="105"/>
      <c r="D48" s="77"/>
      <c r="E48" s="77"/>
      <c r="F48" s="77"/>
      <c r="G48" s="77"/>
      <c r="H48" s="77"/>
      <c r="I48" s="77"/>
      <c r="J48" s="77"/>
      <c r="K48" s="77"/>
      <c r="L48" s="77"/>
      <c r="M48" s="77"/>
    </row>
    <row r="49" ht="14.25" customHeight="1">
      <c r="B49" s="73" t="s">
        <v>88</v>
      </c>
    </row>
    <row r="50" ht="14.25" customHeight="1"/>
    <row r="51" ht="14.25" customHeight="1">
      <c r="B51" s="7"/>
      <c r="C51" s="7"/>
      <c r="D51" s="77"/>
      <c r="E51" s="77"/>
      <c r="F51" s="77"/>
      <c r="G51" s="77"/>
      <c r="H51" s="77"/>
      <c r="I51" s="77"/>
      <c r="J51" s="77"/>
      <c r="K51" s="77"/>
      <c r="L51" s="77"/>
      <c r="M51" s="77"/>
    </row>
    <row r="52" ht="14.25" customHeight="1">
      <c r="B52" s="59" t="s">
        <v>89</v>
      </c>
    </row>
    <row r="53" ht="14.25" customHeight="1"/>
    <row r="54" ht="14.25" customHeight="1">
      <c r="B54" s="7"/>
      <c r="C54" s="7"/>
      <c r="D54" s="77"/>
      <c r="E54" s="77"/>
      <c r="F54" s="77"/>
      <c r="G54" s="77"/>
      <c r="H54" s="77"/>
      <c r="I54" s="77"/>
      <c r="J54" s="77"/>
      <c r="K54" s="77"/>
      <c r="L54" s="77"/>
      <c r="M54" s="77"/>
    </row>
    <row r="55" ht="30.0" hidden="1" customHeight="1">
      <c r="B55" s="106" t="s">
        <v>81</v>
      </c>
      <c r="D55" s="6" t="str">
        <f>(IF('Supervisor Report Logic'!B2="","",'Supervisor Report Logic'!E2))</f>
        <v/>
      </c>
    </row>
    <row r="56" ht="30.0" hidden="1" customHeight="1">
      <c r="D56" s="6" t="str">
        <f>(IF('Supervisor Report Logic'!B3="","",'Supervisor Report Logic'!E3))</f>
        <v/>
      </c>
    </row>
    <row r="57" ht="28.5" hidden="1" customHeight="1">
      <c r="D57" s="6" t="str">
        <f>(IF('Supervisor Report Logic'!B4="","",'Supervisor Report Logic'!E4))</f>
        <v/>
      </c>
    </row>
    <row r="58" ht="14.25" customHeight="1">
      <c r="B58" s="7"/>
      <c r="C58" s="7"/>
      <c r="D58" s="77"/>
      <c r="E58" s="77"/>
      <c r="F58" s="77"/>
      <c r="G58" s="77"/>
      <c r="H58" s="77"/>
      <c r="I58" s="77"/>
      <c r="J58" s="77"/>
      <c r="K58" s="77"/>
      <c r="L58" s="77"/>
      <c r="M58" s="77"/>
    </row>
    <row r="59" ht="60.0" hidden="1" customHeight="1">
      <c r="B59" s="106" t="s">
        <v>82</v>
      </c>
      <c r="D59" s="6" t="str">
        <f>(IF('Supervisor Report Logic'!B5="","",'Supervisor Report Logic'!E5))</f>
        <v/>
      </c>
    </row>
    <row r="60" ht="30.75" hidden="1" customHeight="1">
      <c r="D60" s="6" t="str">
        <f>(IF('Supervisor Report Logic'!B6="","",'Supervisor Report Logic'!E6))</f>
        <v/>
      </c>
    </row>
    <row r="61" ht="31.5" hidden="1" customHeight="1">
      <c r="D61" s="6" t="str">
        <f>(IF('Supervisor Report Logic'!B7="","",'Supervisor Report Logic'!E7))</f>
        <v/>
      </c>
    </row>
    <row r="62" ht="14.25" customHeight="1">
      <c r="M62" s="7"/>
    </row>
    <row r="63" ht="30.75" hidden="1" customHeight="1">
      <c r="B63" s="73" t="s">
        <v>83</v>
      </c>
      <c r="D63" s="6" t="str">
        <f>(IF('Supervisor Report Logic'!B8="","",'Supervisor Report Logic'!E8))</f>
        <v/>
      </c>
    </row>
    <row r="64" ht="44.25" hidden="1" customHeight="1">
      <c r="D64" s="6" t="str">
        <f>(IF('Supervisor Report Logic'!B9="","",'Supervisor Report Logic'!E9))</f>
        <v/>
      </c>
    </row>
    <row r="65" ht="41.25" hidden="1" customHeight="1">
      <c r="D65" s="6" t="str">
        <f>(IF('Supervisor Report Logic'!B10="","",'Supervisor Report Logic'!E10))</f>
        <v/>
      </c>
    </row>
    <row r="66" ht="43.5" hidden="1" customHeight="1">
      <c r="D66" s="6" t="str">
        <f>(IF('Supervisor Report Logic'!B11="","",'Supervisor Report Logic'!E11))</f>
        <v/>
      </c>
    </row>
    <row r="67" ht="42.0" hidden="1" customHeight="1">
      <c r="D67" s="6" t="str">
        <f>(IF('Supervisor Report Logic'!B12="","",'Supervisor Report Logic'!E12))</f>
        <v/>
      </c>
    </row>
    <row r="68" ht="30.75" hidden="1" customHeight="1">
      <c r="D68" s="6" t="str">
        <f>(IF('Supervisor Report Logic'!B13="","",'Supervisor Report Logic'!E13))</f>
        <v/>
      </c>
    </row>
    <row r="69" ht="39.75" hidden="1" customHeight="1">
      <c r="D69" s="6" t="str">
        <f>(IF('Supervisor Report Logic'!B14="","",'Supervisor Report Logic'!E14))</f>
        <v/>
      </c>
    </row>
    <row r="70" ht="14.25" customHeight="1">
      <c r="D70" s="21"/>
      <c r="E70" s="21"/>
      <c r="F70" s="21"/>
      <c r="G70" s="21"/>
      <c r="M70" s="7"/>
    </row>
    <row r="71" ht="43.5" hidden="1" customHeight="1">
      <c r="B71" s="106" t="s">
        <v>87</v>
      </c>
      <c r="D71" s="59" t="str">
        <f>(IF('Supervisor Report Logic'!B15="","",'Supervisor Report Logic'!E15))</f>
        <v/>
      </c>
    </row>
    <row r="72" ht="41.25" hidden="1" customHeight="1">
      <c r="D72" s="59" t="str">
        <f>(IF('Supervisor Report Logic'!B16="","",'Supervisor Report Logic'!E16))</f>
        <v/>
      </c>
    </row>
    <row r="73" ht="14.25" customHeight="1">
      <c r="M73" s="7"/>
    </row>
    <row r="74" ht="14.25" customHeight="1">
      <c r="M74" s="7"/>
    </row>
    <row r="75" ht="14.25" customHeight="1">
      <c r="M75" s="7"/>
    </row>
    <row r="76" ht="14.25" customHeight="1">
      <c r="M76" s="7"/>
    </row>
    <row r="77" ht="14.25" customHeight="1">
      <c r="M77" s="7"/>
    </row>
    <row r="78" ht="14.25" customHeight="1">
      <c r="M78" s="7"/>
    </row>
    <row r="79" ht="14.25" customHeight="1">
      <c r="M79" s="7"/>
    </row>
    <row r="80" ht="14.25" customHeight="1">
      <c r="M80" s="7"/>
    </row>
    <row r="81" ht="14.25" customHeight="1">
      <c r="M81" s="7"/>
    </row>
    <row r="82" ht="14.25" customHeight="1">
      <c r="M82" s="7"/>
    </row>
    <row r="83" ht="14.25" customHeight="1">
      <c r="M83" s="7"/>
    </row>
    <row r="84" ht="14.25" customHeight="1">
      <c r="M84" s="7"/>
    </row>
    <row r="85" ht="14.25" customHeight="1">
      <c r="M85" s="7"/>
    </row>
    <row r="86" ht="14.25" customHeight="1">
      <c r="M86" s="7"/>
    </row>
    <row r="87" ht="14.25" customHeight="1">
      <c r="M87" s="7"/>
    </row>
    <row r="88" ht="14.25" customHeight="1">
      <c r="M88" s="7"/>
    </row>
    <row r="89" ht="14.25" customHeight="1">
      <c r="M89" s="7"/>
    </row>
    <row r="90" ht="14.25" customHeight="1">
      <c r="M90" s="7"/>
    </row>
    <row r="91" ht="14.25" customHeight="1">
      <c r="M91" s="7"/>
    </row>
    <row r="92" ht="14.25" customHeight="1">
      <c r="M92" s="7"/>
    </row>
    <row r="93" ht="14.25" customHeight="1">
      <c r="M93" s="7"/>
    </row>
    <row r="94" ht="14.25" customHeight="1">
      <c r="M94" s="7"/>
    </row>
    <row r="95" ht="14.25" customHeight="1">
      <c r="M95" s="7"/>
    </row>
    <row r="96" ht="14.25" customHeight="1">
      <c r="M96" s="7"/>
    </row>
    <row r="97" ht="14.25" customHeight="1">
      <c r="M97" s="7"/>
    </row>
    <row r="98" ht="14.25" customHeight="1">
      <c r="M98" s="7"/>
    </row>
    <row r="99" ht="14.25" customHeight="1">
      <c r="M99" s="7"/>
    </row>
    <row r="100" ht="14.25" customHeight="1">
      <c r="M100" s="7"/>
    </row>
    <row r="101" ht="14.25" customHeight="1">
      <c r="M101" s="7"/>
    </row>
    <row r="102" ht="14.25" customHeight="1">
      <c r="M102" s="7"/>
    </row>
    <row r="103" ht="14.25" customHeight="1">
      <c r="M103" s="7"/>
    </row>
    <row r="104" ht="14.25" customHeight="1">
      <c r="M104" s="7"/>
    </row>
    <row r="105" ht="14.25" customHeight="1">
      <c r="M105" s="7"/>
    </row>
    <row r="106" ht="14.25" customHeight="1">
      <c r="M106" s="7"/>
    </row>
    <row r="107" ht="14.25" customHeight="1">
      <c r="M107" s="7"/>
    </row>
    <row r="108" ht="14.25" customHeight="1">
      <c r="M108" s="7"/>
    </row>
    <row r="109" ht="14.25" customHeight="1">
      <c r="M109" s="7"/>
    </row>
    <row r="110" ht="14.25" customHeight="1">
      <c r="M110" s="7"/>
    </row>
    <row r="111" ht="14.25" customHeight="1">
      <c r="M111" s="7"/>
    </row>
    <row r="112" ht="14.25" customHeight="1">
      <c r="M112" s="7"/>
    </row>
    <row r="113" ht="14.25" customHeight="1">
      <c r="M113" s="7"/>
    </row>
    <row r="114" ht="14.25" customHeight="1">
      <c r="M114" s="7"/>
    </row>
    <row r="115" ht="14.25" customHeight="1">
      <c r="M115" s="7"/>
    </row>
    <row r="116" ht="14.25" customHeight="1">
      <c r="M116" s="7"/>
    </row>
    <row r="117" ht="14.25" customHeight="1">
      <c r="M117" s="7"/>
    </row>
    <row r="118" ht="14.25" customHeight="1">
      <c r="M118" s="7"/>
    </row>
    <row r="119" ht="14.25" customHeight="1">
      <c r="M119" s="7"/>
    </row>
    <row r="120" ht="14.25" customHeight="1">
      <c r="M120" s="7"/>
    </row>
    <row r="121" ht="14.25" customHeight="1">
      <c r="M121" s="7"/>
    </row>
    <row r="122" ht="14.25" customHeight="1">
      <c r="M122" s="7"/>
    </row>
    <row r="123" ht="14.25" customHeight="1">
      <c r="M123" s="7"/>
    </row>
    <row r="124" ht="14.25" customHeight="1">
      <c r="M124" s="7"/>
    </row>
    <row r="125" ht="14.25" customHeight="1">
      <c r="M125" s="7"/>
    </row>
    <row r="126" ht="14.25" customHeight="1">
      <c r="M126" s="7"/>
    </row>
    <row r="127" ht="14.25" customHeight="1">
      <c r="M127" s="7"/>
    </row>
    <row r="128" ht="14.25" customHeight="1">
      <c r="M128" s="7"/>
    </row>
    <row r="129" ht="14.25" customHeight="1">
      <c r="M129" s="7"/>
    </row>
    <row r="130" ht="14.25" customHeight="1">
      <c r="M130" s="7"/>
    </row>
    <row r="131" ht="14.25" customHeight="1">
      <c r="M131" s="7"/>
    </row>
    <row r="132" ht="14.25" customHeight="1">
      <c r="M132" s="7"/>
    </row>
    <row r="133" ht="14.25" customHeight="1">
      <c r="M133" s="7"/>
    </row>
    <row r="134" ht="14.25" customHeight="1">
      <c r="M134" s="7"/>
    </row>
    <row r="135" ht="14.25" customHeight="1">
      <c r="M135" s="7"/>
    </row>
    <row r="136" ht="14.25" customHeight="1">
      <c r="M136" s="7"/>
    </row>
    <row r="137" ht="14.25" customHeight="1">
      <c r="M137" s="7"/>
    </row>
    <row r="138" ht="14.25" customHeight="1">
      <c r="M138" s="7"/>
    </row>
    <row r="139" ht="14.25" customHeight="1">
      <c r="M139" s="7"/>
    </row>
    <row r="140" ht="14.25" customHeight="1">
      <c r="M140" s="7"/>
    </row>
    <row r="141" ht="14.25" customHeight="1">
      <c r="M141" s="7"/>
    </row>
    <row r="142" ht="14.25" customHeight="1">
      <c r="M142" s="7"/>
    </row>
    <row r="143" ht="14.25" customHeight="1">
      <c r="M143" s="7"/>
    </row>
    <row r="144" ht="14.25" customHeight="1">
      <c r="M144" s="7"/>
    </row>
    <row r="145" ht="14.25" customHeight="1">
      <c r="M145" s="7"/>
    </row>
    <row r="146" ht="14.25" customHeight="1">
      <c r="M146" s="7"/>
    </row>
    <row r="147" ht="14.25" customHeight="1">
      <c r="M147" s="7"/>
    </row>
    <row r="148" ht="14.25" customHeight="1">
      <c r="M148" s="7"/>
    </row>
    <row r="149" ht="14.25" customHeight="1">
      <c r="M149" s="7"/>
    </row>
    <row r="150" ht="14.25" customHeight="1">
      <c r="M150" s="7"/>
    </row>
    <row r="151" ht="14.25" customHeight="1">
      <c r="M151" s="7"/>
    </row>
    <row r="152" ht="14.25" customHeight="1">
      <c r="M152" s="7"/>
    </row>
    <row r="153" ht="14.25" customHeight="1">
      <c r="M153" s="7"/>
    </row>
    <row r="154" ht="14.25" customHeight="1">
      <c r="M154" s="7"/>
    </row>
    <row r="155" ht="14.25" customHeight="1">
      <c r="M155" s="7"/>
    </row>
    <row r="156" ht="14.25" customHeight="1">
      <c r="M156" s="7"/>
    </row>
    <row r="157" ht="14.25" customHeight="1">
      <c r="M157" s="7"/>
    </row>
    <row r="158" ht="14.25" customHeight="1">
      <c r="M158" s="7"/>
    </row>
    <row r="159" ht="14.25" customHeight="1">
      <c r="M159" s="7"/>
    </row>
    <row r="160" ht="14.25" customHeight="1">
      <c r="M160" s="7"/>
    </row>
    <row r="161" ht="14.25" customHeight="1">
      <c r="M161" s="7"/>
    </row>
    <row r="162" ht="14.25" customHeight="1">
      <c r="M162" s="7"/>
    </row>
    <row r="163" ht="14.25" customHeight="1">
      <c r="M163" s="7"/>
    </row>
    <row r="164" ht="14.25" customHeight="1">
      <c r="M164" s="7"/>
    </row>
    <row r="165" ht="14.25" customHeight="1">
      <c r="M165" s="7"/>
    </row>
    <row r="166" ht="14.25" customHeight="1">
      <c r="M166" s="7"/>
    </row>
    <row r="167" ht="14.25" customHeight="1">
      <c r="M167" s="7"/>
    </row>
    <row r="168" ht="14.25" customHeight="1">
      <c r="M168" s="7"/>
    </row>
    <row r="169" ht="14.25" customHeight="1">
      <c r="M169" s="7"/>
    </row>
    <row r="170" ht="14.25" customHeight="1">
      <c r="M170" s="7"/>
    </row>
    <row r="171" ht="14.25" customHeight="1">
      <c r="M171" s="7"/>
    </row>
    <row r="172" ht="14.25" customHeight="1">
      <c r="M172" s="7"/>
    </row>
    <row r="173" ht="14.25" customHeight="1">
      <c r="M173" s="7"/>
    </row>
    <row r="174" ht="14.25" customHeight="1">
      <c r="M174" s="7"/>
    </row>
    <row r="175" ht="14.25" customHeight="1">
      <c r="M175" s="7"/>
    </row>
    <row r="176" ht="14.25" customHeight="1">
      <c r="M176" s="7"/>
    </row>
    <row r="177" ht="14.25" customHeight="1">
      <c r="M177" s="7"/>
    </row>
    <row r="178" ht="14.25" customHeight="1">
      <c r="M178" s="7"/>
    </row>
    <row r="179" ht="14.25" customHeight="1">
      <c r="M179" s="7"/>
    </row>
    <row r="180" ht="14.25" customHeight="1">
      <c r="M180" s="7"/>
    </row>
    <row r="181" ht="14.25" customHeight="1">
      <c r="M181" s="7"/>
    </row>
    <row r="182" ht="14.25" customHeight="1">
      <c r="M182" s="7"/>
    </row>
    <row r="183" ht="14.25" customHeight="1">
      <c r="M183" s="7"/>
    </row>
    <row r="184" ht="14.25" customHeight="1">
      <c r="M184" s="7"/>
    </row>
    <row r="185" ht="14.25" customHeight="1">
      <c r="M185" s="7"/>
    </row>
    <row r="186" ht="14.25" customHeight="1">
      <c r="M186" s="7"/>
    </row>
    <row r="187" ht="14.25" customHeight="1">
      <c r="M187" s="7"/>
    </row>
    <row r="188" ht="14.25" customHeight="1">
      <c r="M188" s="7"/>
    </row>
    <row r="189" ht="14.25" customHeight="1">
      <c r="M189" s="7"/>
    </row>
    <row r="190" ht="14.25" customHeight="1">
      <c r="M190" s="7"/>
    </row>
    <row r="191" ht="14.25" customHeight="1">
      <c r="M191" s="7"/>
    </row>
    <row r="192" ht="14.25" customHeight="1">
      <c r="M192" s="7"/>
    </row>
    <row r="193" ht="14.25" customHeight="1">
      <c r="M193" s="7"/>
    </row>
    <row r="194" ht="14.25" customHeight="1">
      <c r="M194" s="7"/>
    </row>
    <row r="195" ht="14.25" customHeight="1">
      <c r="M195" s="7"/>
    </row>
    <row r="196" ht="14.25" customHeight="1">
      <c r="M196" s="7"/>
    </row>
    <row r="197" ht="14.25" customHeight="1">
      <c r="M197" s="7"/>
    </row>
    <row r="198" ht="14.25" customHeight="1">
      <c r="M198" s="7"/>
    </row>
    <row r="199" ht="14.25" customHeight="1">
      <c r="M199" s="7"/>
    </row>
    <row r="200" ht="14.25" customHeight="1">
      <c r="M200" s="7"/>
    </row>
    <row r="201" ht="14.25" customHeight="1">
      <c r="M201" s="7"/>
    </row>
    <row r="202" ht="14.25" customHeight="1">
      <c r="M202" s="7"/>
    </row>
    <row r="203" ht="14.25" customHeight="1">
      <c r="M203" s="7"/>
    </row>
    <row r="204" ht="14.25" customHeight="1">
      <c r="M204" s="7"/>
    </row>
    <row r="205" ht="14.25" customHeight="1">
      <c r="M205" s="7"/>
    </row>
    <row r="206" ht="14.25" customHeight="1">
      <c r="M206" s="7"/>
    </row>
    <row r="207" ht="14.25" customHeight="1">
      <c r="M207" s="7"/>
    </row>
    <row r="208" ht="14.25" customHeight="1">
      <c r="M208" s="7"/>
    </row>
    <row r="209" ht="14.25" customHeight="1">
      <c r="M209" s="7"/>
    </row>
    <row r="210" ht="14.25" customHeight="1">
      <c r="M210" s="7"/>
    </row>
    <row r="211" ht="14.25" customHeight="1">
      <c r="M211" s="7"/>
    </row>
    <row r="212" ht="14.25" customHeight="1">
      <c r="M212" s="7"/>
    </row>
    <row r="213" ht="14.25" customHeight="1">
      <c r="M213" s="7"/>
    </row>
    <row r="214" ht="14.25" customHeight="1">
      <c r="M214" s="7"/>
    </row>
    <row r="215" ht="14.25" customHeight="1">
      <c r="M215" s="7"/>
    </row>
    <row r="216" ht="14.25" customHeight="1">
      <c r="M216" s="7"/>
    </row>
    <row r="217" ht="14.25" customHeight="1">
      <c r="M217" s="7"/>
    </row>
    <row r="218" ht="14.25" customHeight="1">
      <c r="M218" s="7"/>
    </row>
    <row r="219" ht="14.25" customHeight="1">
      <c r="M219" s="7"/>
    </row>
    <row r="220" ht="14.25" customHeight="1">
      <c r="M220" s="7"/>
    </row>
    <row r="221" ht="14.25" customHeight="1">
      <c r="M221" s="7"/>
    </row>
    <row r="222" ht="14.25" customHeight="1">
      <c r="M222" s="7"/>
    </row>
    <row r="223" ht="14.25" customHeight="1">
      <c r="M223" s="7"/>
    </row>
    <row r="224" ht="14.25" customHeight="1">
      <c r="M224" s="7"/>
    </row>
    <row r="225" ht="14.25" customHeight="1">
      <c r="M225" s="7"/>
    </row>
    <row r="226" ht="14.25" customHeight="1">
      <c r="M226" s="7"/>
    </row>
    <row r="227" ht="14.25" customHeight="1">
      <c r="M227" s="7"/>
    </row>
    <row r="228" ht="14.25" customHeight="1">
      <c r="M228" s="7"/>
    </row>
    <row r="229" ht="14.25" customHeight="1">
      <c r="M229" s="7"/>
    </row>
    <row r="230" ht="14.25" customHeight="1">
      <c r="M230" s="7"/>
    </row>
    <row r="231" ht="14.25" customHeight="1">
      <c r="M231" s="7"/>
    </row>
    <row r="232" ht="14.25" customHeight="1">
      <c r="M232" s="7"/>
    </row>
    <row r="233" ht="14.25" customHeight="1">
      <c r="M233" s="7"/>
    </row>
    <row r="234" ht="14.25" customHeight="1">
      <c r="M234" s="7"/>
    </row>
    <row r="235" ht="14.25" customHeight="1">
      <c r="M235" s="7"/>
    </row>
    <row r="236" ht="14.25" customHeight="1">
      <c r="M236" s="7"/>
    </row>
    <row r="237" ht="14.25" customHeight="1">
      <c r="M237" s="7"/>
    </row>
    <row r="238" ht="14.25" customHeight="1">
      <c r="M238" s="7"/>
    </row>
    <row r="239" ht="14.25" customHeight="1">
      <c r="M239" s="7"/>
    </row>
    <row r="240" ht="14.25" customHeight="1">
      <c r="M240" s="7"/>
    </row>
    <row r="241" ht="14.25" customHeight="1">
      <c r="M241" s="7"/>
    </row>
    <row r="242" ht="14.25" customHeight="1">
      <c r="M242" s="7"/>
    </row>
    <row r="243" ht="14.25" customHeight="1">
      <c r="M243" s="7"/>
    </row>
    <row r="244" ht="14.25" customHeight="1">
      <c r="M244" s="7"/>
    </row>
    <row r="245" ht="14.25" customHeight="1">
      <c r="M245" s="7"/>
    </row>
    <row r="246" ht="14.25" customHeight="1">
      <c r="M246" s="7"/>
    </row>
    <row r="247" ht="14.25" customHeight="1">
      <c r="M247" s="7"/>
    </row>
    <row r="248" ht="14.25" customHeight="1">
      <c r="M248" s="7"/>
    </row>
    <row r="249" ht="14.25" customHeight="1">
      <c r="M249" s="7"/>
    </row>
    <row r="250" ht="14.25" customHeight="1">
      <c r="M250" s="7"/>
    </row>
    <row r="251" ht="14.25" customHeight="1">
      <c r="M251" s="7"/>
    </row>
    <row r="252" ht="14.25" customHeight="1">
      <c r="M252" s="7"/>
    </row>
    <row r="253" ht="14.25" customHeight="1">
      <c r="M253" s="7"/>
    </row>
    <row r="254" ht="14.25" customHeight="1">
      <c r="M254" s="7"/>
    </row>
    <row r="255" ht="14.25" customHeight="1">
      <c r="M255" s="7"/>
    </row>
    <row r="256" ht="14.25" customHeight="1">
      <c r="M256" s="7"/>
    </row>
    <row r="257" ht="14.25" customHeight="1">
      <c r="M257" s="7"/>
    </row>
    <row r="258" ht="14.25" customHeight="1">
      <c r="M258" s="7"/>
    </row>
    <row r="259" ht="14.25" customHeight="1">
      <c r="M259" s="7"/>
    </row>
    <row r="260" ht="14.25" customHeight="1">
      <c r="M260" s="7"/>
    </row>
    <row r="261" ht="14.25" customHeight="1">
      <c r="M261" s="7"/>
    </row>
    <row r="262" ht="14.25" customHeight="1">
      <c r="M262" s="7"/>
    </row>
    <row r="263" ht="14.25" customHeight="1">
      <c r="M263" s="7"/>
    </row>
    <row r="264" ht="14.25" customHeight="1">
      <c r="M264" s="7"/>
    </row>
    <row r="265" ht="14.25" customHeight="1">
      <c r="M265" s="7"/>
    </row>
    <row r="266" ht="14.25" customHeight="1">
      <c r="M266" s="7"/>
    </row>
    <row r="267" ht="14.25" customHeight="1">
      <c r="M267" s="7"/>
    </row>
    <row r="268" ht="14.25" customHeight="1">
      <c r="M268" s="7"/>
    </row>
    <row r="269" ht="14.25" customHeight="1">
      <c r="M269" s="7"/>
    </row>
    <row r="270" ht="14.25" customHeight="1">
      <c r="M270" s="7"/>
    </row>
    <row r="271" ht="14.25" customHeight="1">
      <c r="M271" s="7"/>
    </row>
    <row r="272" ht="14.25" customHeight="1">
      <c r="M272" s="7"/>
    </row>
    <row r="273" ht="14.25" customHeight="1">
      <c r="M273" s="7"/>
    </row>
    <row r="274" ht="14.25" customHeight="1">
      <c r="M274" s="7"/>
    </row>
    <row r="275" ht="14.25" customHeight="1">
      <c r="M275" s="7"/>
    </row>
    <row r="276" ht="14.25" customHeight="1">
      <c r="M276" s="7"/>
    </row>
    <row r="277" ht="14.25" customHeight="1">
      <c r="M277" s="7"/>
    </row>
    <row r="278" ht="14.25" customHeight="1">
      <c r="M278" s="7"/>
    </row>
    <row r="279" ht="14.25" customHeight="1">
      <c r="M279" s="7"/>
    </row>
    <row r="280" ht="14.25" customHeight="1">
      <c r="M280" s="7"/>
    </row>
    <row r="281" ht="14.25" customHeight="1">
      <c r="M281" s="7"/>
    </row>
    <row r="282" ht="14.25" customHeight="1">
      <c r="M282" s="7"/>
    </row>
    <row r="283" ht="14.25" customHeight="1">
      <c r="M283" s="7"/>
    </row>
    <row r="284" ht="14.25" customHeight="1">
      <c r="M284" s="7"/>
    </row>
    <row r="285" ht="14.25" customHeight="1">
      <c r="M285" s="7"/>
    </row>
    <row r="286" ht="14.25" customHeight="1">
      <c r="M286" s="7"/>
    </row>
    <row r="287" ht="14.25" customHeight="1">
      <c r="M287" s="7"/>
    </row>
    <row r="288" ht="14.25" customHeight="1">
      <c r="M288" s="7"/>
    </row>
    <row r="289" ht="14.25" customHeight="1">
      <c r="M289" s="7"/>
    </row>
    <row r="290" ht="14.25" customHeight="1">
      <c r="M290" s="7"/>
    </row>
    <row r="291" ht="14.25" customHeight="1">
      <c r="M291" s="7"/>
    </row>
    <row r="292" ht="14.25" customHeight="1">
      <c r="M292" s="7"/>
    </row>
    <row r="293" ht="14.25" customHeight="1">
      <c r="M293" s="7"/>
    </row>
    <row r="294" ht="14.25" customHeight="1">
      <c r="M294" s="7"/>
    </row>
    <row r="295" ht="14.25" customHeight="1">
      <c r="M295" s="7"/>
    </row>
    <row r="296" ht="14.25" customHeight="1">
      <c r="M296" s="7"/>
    </row>
    <row r="297" ht="14.25" customHeight="1">
      <c r="M297" s="7"/>
    </row>
    <row r="298" ht="14.25" customHeight="1">
      <c r="M298" s="7"/>
    </row>
    <row r="299" ht="14.25" customHeight="1">
      <c r="M299" s="7"/>
    </row>
    <row r="300" ht="14.25" customHeight="1">
      <c r="M300" s="7"/>
    </row>
    <row r="301" ht="14.25" customHeight="1">
      <c r="M301" s="7"/>
    </row>
    <row r="302" ht="14.25" customHeight="1">
      <c r="M302" s="7"/>
    </row>
    <row r="303" ht="14.25" customHeight="1">
      <c r="M303" s="7"/>
    </row>
    <row r="304" ht="14.25" customHeight="1">
      <c r="M304" s="7"/>
    </row>
    <row r="305" ht="14.25" customHeight="1">
      <c r="M305" s="7"/>
    </row>
    <row r="306" ht="14.25" customHeight="1">
      <c r="M306" s="7"/>
    </row>
    <row r="307" ht="14.25" customHeight="1">
      <c r="M307" s="7"/>
    </row>
    <row r="308" ht="14.25" customHeight="1">
      <c r="M308" s="7"/>
    </row>
    <row r="309" ht="14.25" customHeight="1">
      <c r="M309" s="7"/>
    </row>
    <row r="310" ht="14.25" customHeight="1">
      <c r="M310" s="7"/>
    </row>
    <row r="311" ht="14.25" customHeight="1">
      <c r="M311" s="7"/>
    </row>
    <row r="312" ht="14.25" customHeight="1">
      <c r="M312" s="7"/>
    </row>
    <row r="313" ht="14.25" customHeight="1">
      <c r="M313" s="7"/>
    </row>
    <row r="314" ht="14.25" customHeight="1">
      <c r="M314" s="7"/>
    </row>
    <row r="315" ht="14.25" customHeight="1">
      <c r="M315" s="7"/>
    </row>
    <row r="316" ht="14.25" customHeight="1">
      <c r="M316" s="7"/>
    </row>
    <row r="317" ht="14.25" customHeight="1">
      <c r="M317" s="7"/>
    </row>
    <row r="318" ht="14.25" customHeight="1">
      <c r="M318" s="7"/>
    </row>
    <row r="319" ht="14.25" customHeight="1">
      <c r="M319" s="7"/>
    </row>
    <row r="320" ht="14.25" customHeight="1">
      <c r="M320" s="7"/>
    </row>
    <row r="321" ht="14.25" customHeight="1">
      <c r="M321" s="7"/>
    </row>
    <row r="322" ht="14.25" customHeight="1">
      <c r="M322" s="7"/>
    </row>
    <row r="323" ht="14.25" customHeight="1">
      <c r="M323" s="7"/>
    </row>
    <row r="324" ht="14.25" customHeight="1">
      <c r="M324" s="7"/>
    </row>
    <row r="325" ht="14.25" customHeight="1">
      <c r="M325" s="7"/>
    </row>
    <row r="326" ht="14.25" customHeight="1">
      <c r="M326" s="7"/>
    </row>
    <row r="327" ht="14.25" customHeight="1">
      <c r="M327" s="7"/>
    </row>
    <row r="328" ht="14.25" customHeight="1">
      <c r="M328" s="7"/>
    </row>
    <row r="329" ht="14.25" customHeight="1">
      <c r="M329" s="7"/>
    </row>
    <row r="330" ht="14.25" customHeight="1">
      <c r="M330" s="7"/>
    </row>
    <row r="331" ht="14.25" customHeight="1">
      <c r="M331" s="7"/>
    </row>
    <row r="332" ht="14.25" customHeight="1">
      <c r="M332" s="7"/>
    </row>
    <row r="333" ht="14.25" customHeight="1">
      <c r="M333" s="7"/>
    </row>
    <row r="334" ht="14.25" customHeight="1">
      <c r="M334" s="7"/>
    </row>
    <row r="335" ht="14.25" customHeight="1">
      <c r="M335" s="7"/>
    </row>
    <row r="336" ht="14.25" customHeight="1">
      <c r="M336" s="7"/>
    </row>
    <row r="337" ht="14.25" customHeight="1">
      <c r="M337" s="7"/>
    </row>
    <row r="338" ht="14.25" customHeight="1">
      <c r="M338" s="7"/>
    </row>
    <row r="339" ht="14.25" customHeight="1">
      <c r="M339" s="7"/>
    </row>
    <row r="340" ht="14.25" customHeight="1">
      <c r="M340" s="7"/>
    </row>
    <row r="341" ht="14.25" customHeight="1">
      <c r="M341" s="7"/>
    </row>
    <row r="342" ht="14.25" customHeight="1">
      <c r="M342" s="7"/>
    </row>
    <row r="343" ht="14.25" customHeight="1">
      <c r="M343" s="7"/>
    </row>
    <row r="344" ht="14.25" customHeight="1">
      <c r="M344" s="7"/>
    </row>
    <row r="345" ht="14.25" customHeight="1">
      <c r="M345" s="7"/>
    </row>
    <row r="346" ht="14.25" customHeight="1">
      <c r="M346" s="7"/>
    </row>
    <row r="347" ht="14.25" customHeight="1">
      <c r="M347" s="7"/>
    </row>
    <row r="348" ht="14.25" customHeight="1">
      <c r="M348" s="7"/>
    </row>
    <row r="349" ht="14.25" customHeight="1">
      <c r="M349" s="7"/>
    </row>
    <row r="350" ht="14.25" customHeight="1">
      <c r="M350" s="7"/>
    </row>
    <row r="351" ht="14.25" customHeight="1">
      <c r="M351" s="7"/>
    </row>
    <row r="352" ht="14.25" customHeight="1">
      <c r="M352" s="7"/>
    </row>
    <row r="353" ht="14.25" customHeight="1">
      <c r="M353" s="7"/>
    </row>
    <row r="354" ht="14.25" customHeight="1">
      <c r="M354" s="7"/>
    </row>
    <row r="355" ht="14.25" customHeight="1">
      <c r="M355" s="7"/>
    </row>
    <row r="356" ht="14.25" customHeight="1">
      <c r="M356" s="7"/>
    </row>
    <row r="357" ht="14.25" customHeight="1">
      <c r="M357" s="7"/>
    </row>
    <row r="358" ht="14.25" customHeight="1">
      <c r="M358" s="7"/>
    </row>
    <row r="359" ht="14.25" customHeight="1">
      <c r="M359" s="7"/>
    </row>
    <row r="360" ht="14.25" customHeight="1">
      <c r="M360" s="7"/>
    </row>
    <row r="361" ht="14.25" customHeight="1">
      <c r="M361" s="7"/>
    </row>
    <row r="362" ht="14.25" customHeight="1">
      <c r="M362" s="7"/>
    </row>
    <row r="363" ht="14.25" customHeight="1">
      <c r="M363" s="7"/>
    </row>
    <row r="364" ht="14.25" customHeight="1">
      <c r="M364" s="7"/>
    </row>
    <row r="365" ht="14.25" customHeight="1">
      <c r="M365" s="7"/>
    </row>
    <row r="366" ht="14.25" customHeight="1">
      <c r="M366" s="7"/>
    </row>
    <row r="367" ht="14.25" customHeight="1">
      <c r="M367" s="7"/>
    </row>
    <row r="368" ht="14.25" customHeight="1">
      <c r="M368" s="7"/>
    </row>
    <row r="369" ht="14.25" customHeight="1">
      <c r="M369" s="7"/>
    </row>
    <row r="370" ht="14.25" customHeight="1">
      <c r="M370" s="7"/>
    </row>
    <row r="371" ht="14.25" customHeight="1">
      <c r="M371" s="7"/>
    </row>
    <row r="372" ht="14.25" customHeight="1">
      <c r="M372" s="7"/>
    </row>
    <row r="373" ht="14.25" customHeight="1">
      <c r="M373" s="7"/>
    </row>
    <row r="374" ht="14.25" customHeight="1">
      <c r="M374" s="7"/>
    </row>
    <row r="375" ht="14.25" customHeight="1">
      <c r="M375" s="7"/>
    </row>
    <row r="376" ht="14.25" customHeight="1">
      <c r="M376" s="7"/>
    </row>
    <row r="377" ht="14.25" customHeight="1">
      <c r="M377" s="7"/>
    </row>
    <row r="378" ht="14.25" customHeight="1">
      <c r="M378" s="7"/>
    </row>
    <row r="379" ht="14.25" customHeight="1">
      <c r="M379" s="7"/>
    </row>
    <row r="380" ht="14.25" customHeight="1">
      <c r="M380" s="7"/>
    </row>
    <row r="381" ht="14.25" customHeight="1">
      <c r="M381" s="7"/>
    </row>
    <row r="382" ht="14.25" customHeight="1">
      <c r="M382" s="7"/>
    </row>
    <row r="383" ht="14.25" customHeight="1">
      <c r="M383" s="7"/>
    </row>
    <row r="384" ht="14.25" customHeight="1">
      <c r="M384" s="7"/>
    </row>
    <row r="385" ht="14.25" customHeight="1">
      <c r="M385" s="7"/>
    </row>
    <row r="386" ht="14.25" customHeight="1">
      <c r="M386" s="7"/>
    </row>
    <row r="387" ht="14.25" customHeight="1">
      <c r="M387" s="7"/>
    </row>
    <row r="388" ht="14.25" customHeight="1">
      <c r="M388" s="7"/>
    </row>
    <row r="389" ht="14.25" customHeight="1">
      <c r="M389" s="7"/>
    </row>
    <row r="390" ht="14.25" customHeight="1">
      <c r="M390" s="7"/>
    </row>
    <row r="391" ht="14.25" customHeight="1">
      <c r="M391" s="7"/>
    </row>
    <row r="392" ht="14.25" customHeight="1">
      <c r="M392" s="7"/>
    </row>
    <row r="393" ht="14.25" customHeight="1">
      <c r="M393" s="7"/>
    </row>
    <row r="394" ht="14.25" customHeight="1">
      <c r="M394" s="7"/>
    </row>
    <row r="395" ht="14.25" customHeight="1">
      <c r="M395" s="7"/>
    </row>
    <row r="396" ht="14.25" customHeight="1">
      <c r="M396" s="7"/>
    </row>
    <row r="397" ht="14.25" customHeight="1">
      <c r="M397" s="7"/>
    </row>
    <row r="398" ht="14.25" customHeight="1">
      <c r="M398" s="7"/>
    </row>
    <row r="399" ht="14.25" customHeight="1">
      <c r="M399" s="7"/>
    </row>
    <row r="400" ht="14.25" customHeight="1">
      <c r="M400" s="7"/>
    </row>
    <row r="401" ht="14.25" customHeight="1">
      <c r="M401" s="7"/>
    </row>
    <row r="402" ht="14.25" customHeight="1">
      <c r="M402" s="7"/>
    </row>
    <row r="403" ht="14.25" customHeight="1">
      <c r="M403" s="7"/>
    </row>
    <row r="404" ht="14.25" customHeight="1">
      <c r="M404" s="7"/>
    </row>
    <row r="405" ht="14.25" customHeight="1">
      <c r="M405" s="7"/>
    </row>
    <row r="406" ht="14.25" customHeight="1">
      <c r="M406" s="7"/>
    </row>
    <row r="407" ht="14.25" customHeight="1">
      <c r="M407" s="7"/>
    </row>
    <row r="408" ht="14.25" customHeight="1">
      <c r="M408" s="7"/>
    </row>
    <row r="409" ht="14.25" customHeight="1">
      <c r="M409" s="7"/>
    </row>
    <row r="410" ht="14.25" customHeight="1">
      <c r="M410" s="7"/>
    </row>
    <row r="411" ht="14.25" customHeight="1">
      <c r="M411" s="7"/>
    </row>
    <row r="412" ht="14.25" customHeight="1">
      <c r="M412" s="7"/>
    </row>
    <row r="413" ht="14.25" customHeight="1">
      <c r="M413" s="7"/>
    </row>
    <row r="414" ht="14.25" customHeight="1">
      <c r="M414" s="7"/>
    </row>
    <row r="415" ht="14.25" customHeight="1">
      <c r="M415" s="7"/>
    </row>
    <row r="416" ht="14.25" customHeight="1">
      <c r="M416" s="7"/>
    </row>
    <row r="417" ht="14.25" customHeight="1">
      <c r="M417" s="7"/>
    </row>
    <row r="418" ht="14.25" customHeight="1">
      <c r="M418" s="7"/>
    </row>
    <row r="419" ht="14.25" customHeight="1">
      <c r="M419" s="7"/>
    </row>
    <row r="420" ht="14.25" customHeight="1">
      <c r="M420" s="7"/>
    </row>
    <row r="421" ht="14.25" customHeight="1">
      <c r="M421" s="7"/>
    </row>
    <row r="422" ht="14.25" customHeight="1">
      <c r="M422" s="7"/>
    </row>
    <row r="423" ht="14.25" customHeight="1">
      <c r="M423" s="7"/>
    </row>
    <row r="424" ht="14.25" customHeight="1">
      <c r="M424" s="7"/>
    </row>
    <row r="425" ht="14.25" customHeight="1">
      <c r="M425" s="7"/>
    </row>
    <row r="426" ht="14.25" customHeight="1">
      <c r="M426" s="7"/>
    </row>
    <row r="427" ht="14.25" customHeight="1">
      <c r="M427" s="7"/>
    </row>
    <row r="428" ht="14.25" customHeight="1">
      <c r="M428" s="7"/>
    </row>
    <row r="429" ht="14.25" customHeight="1">
      <c r="M429" s="7"/>
    </row>
    <row r="430" ht="14.25" customHeight="1">
      <c r="M430" s="7"/>
    </row>
    <row r="431" ht="14.25" customHeight="1">
      <c r="M431" s="7"/>
    </row>
    <row r="432" ht="14.25" customHeight="1">
      <c r="M432" s="7"/>
    </row>
    <row r="433" ht="14.25" customHeight="1">
      <c r="M433" s="7"/>
    </row>
    <row r="434" ht="14.25" customHeight="1">
      <c r="M434" s="7"/>
    </row>
    <row r="435" ht="14.25" customHeight="1">
      <c r="M435" s="7"/>
    </row>
    <row r="436" ht="14.25" customHeight="1">
      <c r="M436" s="7"/>
    </row>
    <row r="437" ht="14.25" customHeight="1">
      <c r="M437" s="7"/>
    </row>
    <row r="438" ht="14.25" customHeight="1">
      <c r="M438" s="7"/>
    </row>
    <row r="439" ht="14.25" customHeight="1">
      <c r="M439" s="7"/>
    </row>
    <row r="440" ht="14.25" customHeight="1">
      <c r="M440" s="7"/>
    </row>
    <row r="441" ht="14.25" customHeight="1">
      <c r="M441" s="7"/>
    </row>
    <row r="442" ht="14.25" customHeight="1">
      <c r="M442" s="7"/>
    </row>
    <row r="443" ht="14.25" customHeight="1">
      <c r="M443" s="7"/>
    </row>
    <row r="444" ht="14.25" customHeight="1">
      <c r="M444" s="7"/>
    </row>
    <row r="445" ht="14.25" customHeight="1">
      <c r="M445" s="7"/>
    </row>
    <row r="446" ht="14.25" customHeight="1">
      <c r="M446" s="7"/>
    </row>
    <row r="447" ht="14.25" customHeight="1">
      <c r="M447" s="7"/>
    </row>
    <row r="448" ht="14.25" customHeight="1">
      <c r="M448" s="7"/>
    </row>
    <row r="449" ht="14.25" customHeight="1">
      <c r="M449" s="7"/>
    </row>
    <row r="450" ht="14.25" customHeight="1">
      <c r="M450" s="7"/>
    </row>
    <row r="451" ht="14.25" customHeight="1">
      <c r="M451" s="7"/>
    </row>
    <row r="452" ht="14.25" customHeight="1">
      <c r="M452" s="7"/>
    </row>
    <row r="453" ht="14.25" customHeight="1">
      <c r="M453" s="7"/>
    </row>
    <row r="454" ht="14.25" customHeight="1">
      <c r="M454" s="7"/>
    </row>
    <row r="455" ht="14.25" customHeight="1">
      <c r="M455" s="7"/>
    </row>
    <row r="456" ht="14.25" customHeight="1">
      <c r="M456" s="7"/>
    </row>
    <row r="457" ht="14.25" customHeight="1">
      <c r="M457" s="7"/>
    </row>
    <row r="458" ht="14.25" customHeight="1">
      <c r="M458" s="7"/>
    </row>
    <row r="459" ht="14.25" customHeight="1">
      <c r="M459" s="7"/>
    </row>
    <row r="460" ht="14.25" customHeight="1">
      <c r="M460" s="7"/>
    </row>
    <row r="461" ht="14.25" customHeight="1">
      <c r="M461" s="7"/>
    </row>
    <row r="462" ht="14.25" customHeight="1">
      <c r="M462" s="7"/>
    </row>
    <row r="463" ht="14.25" customHeight="1">
      <c r="M463" s="7"/>
    </row>
    <row r="464" ht="14.25" customHeight="1">
      <c r="M464" s="7"/>
    </row>
    <row r="465" ht="14.25" customHeight="1">
      <c r="M465" s="7"/>
    </row>
    <row r="466" ht="14.25" customHeight="1">
      <c r="M466" s="7"/>
    </row>
    <row r="467" ht="14.25" customHeight="1">
      <c r="M467" s="7"/>
    </row>
    <row r="468" ht="14.25" customHeight="1">
      <c r="M468" s="7"/>
    </row>
    <row r="469" ht="14.25" customHeight="1">
      <c r="M469" s="7"/>
    </row>
    <row r="470" ht="14.25" customHeight="1">
      <c r="M470" s="7"/>
    </row>
    <row r="471" ht="14.25" customHeight="1">
      <c r="M471" s="7"/>
    </row>
    <row r="472" ht="14.25" customHeight="1">
      <c r="M472" s="7"/>
    </row>
    <row r="473" ht="14.25" customHeight="1">
      <c r="M473" s="7"/>
    </row>
    <row r="474" ht="14.25" customHeight="1">
      <c r="M474" s="7"/>
    </row>
    <row r="475" ht="14.25" customHeight="1">
      <c r="M475" s="7"/>
    </row>
    <row r="476" ht="14.25" customHeight="1">
      <c r="M476" s="7"/>
    </row>
    <row r="477" ht="14.25" customHeight="1">
      <c r="M477" s="7"/>
    </row>
    <row r="478" ht="14.25" customHeight="1">
      <c r="M478" s="7"/>
    </row>
    <row r="479" ht="14.25" customHeight="1">
      <c r="M479" s="7"/>
    </row>
    <row r="480" ht="14.25" customHeight="1">
      <c r="M480" s="7"/>
    </row>
    <row r="481" ht="14.25" customHeight="1">
      <c r="M481" s="7"/>
    </row>
    <row r="482" ht="14.25" customHeight="1">
      <c r="M482" s="7"/>
    </row>
    <row r="483" ht="14.25" customHeight="1">
      <c r="M483" s="7"/>
    </row>
    <row r="484" ht="14.25" customHeight="1">
      <c r="M484" s="7"/>
    </row>
    <row r="485" ht="14.25" customHeight="1">
      <c r="M485" s="7"/>
    </row>
    <row r="486" ht="14.25" customHeight="1">
      <c r="M486" s="7"/>
    </row>
    <row r="487" ht="14.25" customHeight="1">
      <c r="M487" s="7"/>
    </row>
    <row r="488" ht="14.25" customHeight="1">
      <c r="M488" s="7"/>
    </row>
    <row r="489" ht="14.25" customHeight="1">
      <c r="M489" s="7"/>
    </row>
    <row r="490" ht="14.25" customHeight="1">
      <c r="M490" s="7"/>
    </row>
    <row r="491" ht="14.25" customHeight="1">
      <c r="M491" s="7"/>
    </row>
    <row r="492" ht="14.25" customHeight="1">
      <c r="M492" s="7"/>
    </row>
    <row r="493" ht="14.25" customHeight="1">
      <c r="M493" s="7"/>
    </row>
    <row r="494" ht="14.25" customHeight="1">
      <c r="M494" s="7"/>
    </row>
    <row r="495" ht="14.25" customHeight="1">
      <c r="M495" s="7"/>
    </row>
    <row r="496" ht="14.25" customHeight="1">
      <c r="M496" s="7"/>
    </row>
    <row r="497" ht="14.25" customHeight="1">
      <c r="M497" s="7"/>
    </row>
    <row r="498" ht="14.25" customHeight="1">
      <c r="M498" s="7"/>
    </row>
    <row r="499" ht="14.25" customHeight="1">
      <c r="M499" s="7"/>
    </row>
    <row r="500" ht="14.25" customHeight="1">
      <c r="M500" s="7"/>
    </row>
    <row r="501" ht="14.25" customHeight="1">
      <c r="M501" s="7"/>
    </row>
    <row r="502" ht="14.25" customHeight="1">
      <c r="M502" s="7"/>
    </row>
    <row r="503" ht="14.25" customHeight="1">
      <c r="M503" s="7"/>
    </row>
    <row r="504" ht="14.25" customHeight="1">
      <c r="M504" s="7"/>
    </row>
    <row r="505" ht="14.25" customHeight="1">
      <c r="M505" s="7"/>
    </row>
    <row r="506" ht="14.25" customHeight="1">
      <c r="M506" s="7"/>
    </row>
    <row r="507" ht="14.25" customHeight="1">
      <c r="M507" s="7"/>
    </row>
    <row r="508" ht="14.25" customHeight="1">
      <c r="M508" s="7"/>
    </row>
    <row r="509" ht="14.25" customHeight="1">
      <c r="M509" s="7"/>
    </row>
    <row r="510" ht="14.25" customHeight="1">
      <c r="M510" s="7"/>
    </row>
    <row r="511" ht="14.25" customHeight="1">
      <c r="M511" s="7"/>
    </row>
    <row r="512" ht="14.25" customHeight="1">
      <c r="M512" s="7"/>
    </row>
    <row r="513" ht="14.25" customHeight="1">
      <c r="M513" s="7"/>
    </row>
    <row r="514" ht="14.25" customHeight="1">
      <c r="M514" s="7"/>
    </row>
    <row r="515" ht="14.25" customHeight="1">
      <c r="M515" s="7"/>
    </row>
    <row r="516" ht="14.25" customHeight="1">
      <c r="M516" s="7"/>
    </row>
    <row r="517" ht="14.25" customHeight="1">
      <c r="M517" s="7"/>
    </row>
    <row r="518" ht="14.25" customHeight="1">
      <c r="M518" s="7"/>
    </row>
    <row r="519" ht="14.25" customHeight="1">
      <c r="M519" s="7"/>
    </row>
    <row r="520" ht="14.25" customHeight="1">
      <c r="M520" s="7"/>
    </row>
    <row r="521" ht="14.25" customHeight="1">
      <c r="M521" s="7"/>
    </row>
    <row r="522" ht="14.25" customHeight="1">
      <c r="M522" s="7"/>
    </row>
    <row r="523" ht="14.25" customHeight="1">
      <c r="M523" s="7"/>
    </row>
    <row r="524" ht="14.25" customHeight="1">
      <c r="M524" s="7"/>
    </row>
    <row r="525" ht="14.25" customHeight="1">
      <c r="M525" s="7"/>
    </row>
    <row r="526" ht="14.25" customHeight="1">
      <c r="M526" s="7"/>
    </row>
    <row r="527" ht="14.25" customHeight="1">
      <c r="M527" s="7"/>
    </row>
    <row r="528" ht="14.25" customHeight="1">
      <c r="M528" s="7"/>
    </row>
    <row r="529" ht="14.25" customHeight="1">
      <c r="M529" s="7"/>
    </row>
    <row r="530" ht="14.25" customHeight="1">
      <c r="M530" s="7"/>
    </row>
    <row r="531" ht="14.25" customHeight="1">
      <c r="M531" s="7"/>
    </row>
    <row r="532" ht="14.25" customHeight="1">
      <c r="M532" s="7"/>
    </row>
    <row r="533" ht="14.25" customHeight="1">
      <c r="M533" s="7"/>
    </row>
    <row r="534" ht="14.25" customHeight="1">
      <c r="M534" s="7"/>
    </row>
    <row r="535" ht="14.25" customHeight="1">
      <c r="M535" s="7"/>
    </row>
    <row r="536" ht="14.25" customHeight="1">
      <c r="M536" s="7"/>
    </row>
    <row r="537" ht="14.25" customHeight="1">
      <c r="M537" s="7"/>
    </row>
    <row r="538" ht="14.25" customHeight="1">
      <c r="M538" s="7"/>
    </row>
    <row r="539" ht="14.25" customHeight="1">
      <c r="M539" s="7"/>
    </row>
    <row r="540" ht="14.25" customHeight="1">
      <c r="M540" s="7"/>
    </row>
    <row r="541" ht="14.25" customHeight="1">
      <c r="M541" s="7"/>
    </row>
    <row r="542" ht="14.25" customHeight="1">
      <c r="M542" s="7"/>
    </row>
    <row r="543" ht="14.25" customHeight="1">
      <c r="M543" s="7"/>
    </row>
    <row r="544" ht="14.25" customHeight="1">
      <c r="M544" s="7"/>
    </row>
    <row r="545" ht="14.25" customHeight="1">
      <c r="M545" s="7"/>
    </row>
    <row r="546" ht="14.25" customHeight="1">
      <c r="M546" s="7"/>
    </row>
    <row r="547" ht="14.25" customHeight="1">
      <c r="M547" s="7"/>
    </row>
    <row r="548" ht="14.25" customHeight="1">
      <c r="M548" s="7"/>
    </row>
    <row r="549" ht="14.25" customHeight="1">
      <c r="M549" s="7"/>
    </row>
    <row r="550" ht="14.25" customHeight="1">
      <c r="M550" s="7"/>
    </row>
    <row r="551" ht="14.25" customHeight="1">
      <c r="M551" s="7"/>
    </row>
    <row r="552" ht="14.25" customHeight="1">
      <c r="M552" s="7"/>
    </row>
    <row r="553" ht="14.25" customHeight="1">
      <c r="M553" s="7"/>
    </row>
    <row r="554" ht="14.25" customHeight="1">
      <c r="M554" s="7"/>
    </row>
    <row r="555" ht="14.25" customHeight="1">
      <c r="M555" s="7"/>
    </row>
    <row r="556" ht="14.25" customHeight="1">
      <c r="M556" s="7"/>
    </row>
    <row r="557" ht="14.25" customHeight="1">
      <c r="M557" s="7"/>
    </row>
    <row r="558" ht="14.25" customHeight="1">
      <c r="M558" s="7"/>
    </row>
    <row r="559" ht="14.25" customHeight="1">
      <c r="M559" s="7"/>
    </row>
    <row r="560" ht="14.25" customHeight="1">
      <c r="M560" s="7"/>
    </row>
    <row r="561" ht="14.25" customHeight="1">
      <c r="M561" s="7"/>
    </row>
    <row r="562" ht="14.25" customHeight="1">
      <c r="M562" s="7"/>
    </row>
    <row r="563" ht="14.25" customHeight="1">
      <c r="M563" s="7"/>
    </row>
    <row r="564" ht="14.25" customHeight="1">
      <c r="M564" s="7"/>
    </row>
    <row r="565" ht="14.25" customHeight="1">
      <c r="M565" s="7"/>
    </row>
    <row r="566" ht="14.25" customHeight="1">
      <c r="M566" s="7"/>
    </row>
    <row r="567" ht="14.25" customHeight="1">
      <c r="M567" s="7"/>
    </row>
    <row r="568" ht="14.25" customHeight="1">
      <c r="M568" s="7"/>
    </row>
    <row r="569" ht="14.25" customHeight="1">
      <c r="M569" s="7"/>
    </row>
    <row r="570" ht="14.25" customHeight="1">
      <c r="M570" s="7"/>
    </row>
    <row r="571" ht="14.25" customHeight="1">
      <c r="M571" s="7"/>
    </row>
    <row r="572" ht="14.25" customHeight="1">
      <c r="M572" s="7"/>
    </row>
    <row r="573" ht="14.25" customHeight="1">
      <c r="M573" s="7"/>
    </row>
    <row r="574" ht="14.25" customHeight="1">
      <c r="M574" s="7"/>
    </row>
    <row r="575" ht="14.25" customHeight="1">
      <c r="M575" s="7"/>
    </row>
    <row r="576" ht="14.25" customHeight="1">
      <c r="M576" s="7"/>
    </row>
    <row r="577" ht="14.25" customHeight="1">
      <c r="M577" s="7"/>
    </row>
    <row r="578" ht="14.25" customHeight="1">
      <c r="M578" s="7"/>
    </row>
    <row r="579" ht="14.25" customHeight="1">
      <c r="M579" s="7"/>
    </row>
    <row r="580" ht="14.25" customHeight="1">
      <c r="M580" s="7"/>
    </row>
    <row r="581" ht="14.25" customHeight="1">
      <c r="M581" s="7"/>
    </row>
    <row r="582" ht="14.25" customHeight="1">
      <c r="M582" s="7"/>
    </row>
    <row r="583" ht="14.25" customHeight="1">
      <c r="M583" s="7"/>
    </row>
    <row r="584" ht="14.25" customHeight="1">
      <c r="M584" s="7"/>
    </row>
    <row r="585" ht="14.25" customHeight="1">
      <c r="M585" s="7"/>
    </row>
    <row r="586" ht="14.25" customHeight="1">
      <c r="M586" s="7"/>
    </row>
    <row r="587" ht="14.25" customHeight="1">
      <c r="M587" s="7"/>
    </row>
    <row r="588" ht="14.25" customHeight="1">
      <c r="M588" s="7"/>
    </row>
    <row r="589" ht="14.25" customHeight="1">
      <c r="M589" s="7"/>
    </row>
    <row r="590" ht="14.25" customHeight="1">
      <c r="M590" s="7"/>
    </row>
    <row r="591" ht="14.25" customHeight="1">
      <c r="M591" s="7"/>
    </row>
    <row r="592" ht="14.25" customHeight="1">
      <c r="M592" s="7"/>
    </row>
    <row r="593" ht="14.25" customHeight="1">
      <c r="M593" s="7"/>
    </row>
    <row r="594" ht="14.25" customHeight="1">
      <c r="M594" s="7"/>
    </row>
    <row r="595" ht="14.25" customHeight="1">
      <c r="M595" s="7"/>
    </row>
    <row r="596" ht="14.25" customHeight="1">
      <c r="M596" s="7"/>
    </row>
    <row r="597" ht="14.25" customHeight="1">
      <c r="M597" s="7"/>
    </row>
    <row r="598" ht="14.25" customHeight="1">
      <c r="M598" s="7"/>
    </row>
    <row r="599" ht="14.25" customHeight="1">
      <c r="M599" s="7"/>
    </row>
    <row r="600" ht="14.25" customHeight="1">
      <c r="M600" s="7"/>
    </row>
    <row r="601" ht="14.25" customHeight="1">
      <c r="M601" s="7"/>
    </row>
    <row r="602" ht="14.25" customHeight="1">
      <c r="M602" s="7"/>
    </row>
    <row r="603" ht="14.25" customHeight="1">
      <c r="M603" s="7"/>
    </row>
    <row r="604" ht="14.25" customHeight="1">
      <c r="M604" s="7"/>
    </row>
    <row r="605" ht="14.25" customHeight="1">
      <c r="M605" s="7"/>
    </row>
    <row r="606" ht="14.25" customHeight="1">
      <c r="M606" s="7"/>
    </row>
    <row r="607" ht="14.25" customHeight="1">
      <c r="M607" s="7"/>
    </row>
    <row r="608" ht="14.25" customHeight="1">
      <c r="M608" s="7"/>
    </row>
    <row r="609" ht="14.25" customHeight="1">
      <c r="M609" s="7"/>
    </row>
    <row r="610" ht="14.25" customHeight="1">
      <c r="M610" s="7"/>
    </row>
    <row r="611" ht="14.25" customHeight="1">
      <c r="M611" s="7"/>
    </row>
    <row r="612" ht="14.25" customHeight="1">
      <c r="M612" s="7"/>
    </row>
    <row r="613" ht="14.25" customHeight="1">
      <c r="M613" s="7"/>
    </row>
    <row r="614" ht="14.25" customHeight="1">
      <c r="M614" s="7"/>
    </row>
    <row r="615" ht="14.25" customHeight="1">
      <c r="M615" s="7"/>
    </row>
    <row r="616" ht="14.25" customHeight="1">
      <c r="M616" s="7"/>
    </row>
    <row r="617" ht="14.25" customHeight="1">
      <c r="M617" s="7"/>
    </row>
    <row r="618" ht="14.25" customHeight="1">
      <c r="M618" s="7"/>
    </row>
    <row r="619" ht="14.25" customHeight="1">
      <c r="M619" s="7"/>
    </row>
    <row r="620" ht="14.25" customHeight="1">
      <c r="M620" s="7"/>
    </row>
    <row r="621" ht="14.25" customHeight="1">
      <c r="M621" s="7"/>
    </row>
    <row r="622" ht="14.25" customHeight="1">
      <c r="M622" s="7"/>
    </row>
    <row r="623" ht="14.25" customHeight="1">
      <c r="M623" s="7"/>
    </row>
    <row r="624" ht="14.25" customHeight="1">
      <c r="M624" s="7"/>
    </row>
    <row r="625" ht="14.25" customHeight="1">
      <c r="M625" s="7"/>
    </row>
    <row r="626" ht="14.25" customHeight="1">
      <c r="M626" s="7"/>
    </row>
    <row r="627" ht="14.25" customHeight="1">
      <c r="M627" s="7"/>
    </row>
    <row r="628" ht="14.25" customHeight="1">
      <c r="M628" s="7"/>
    </row>
    <row r="629" ht="14.25" customHeight="1">
      <c r="M629" s="7"/>
    </row>
    <row r="630" ht="14.25" customHeight="1">
      <c r="M630" s="7"/>
    </row>
    <row r="631" ht="14.25" customHeight="1">
      <c r="M631" s="7"/>
    </row>
    <row r="632" ht="14.25" customHeight="1">
      <c r="M632" s="7"/>
    </row>
    <row r="633" ht="14.25" customHeight="1">
      <c r="M633" s="7"/>
    </row>
    <row r="634" ht="14.25" customHeight="1">
      <c r="M634" s="7"/>
    </row>
    <row r="635" ht="14.25" customHeight="1">
      <c r="M635" s="7"/>
    </row>
    <row r="636" ht="14.25" customHeight="1">
      <c r="M636" s="7"/>
    </row>
    <row r="637" ht="14.25" customHeight="1">
      <c r="M637" s="7"/>
    </row>
    <row r="638" ht="14.25" customHeight="1">
      <c r="M638" s="7"/>
    </row>
    <row r="639" ht="14.25" customHeight="1">
      <c r="M639" s="7"/>
    </row>
    <row r="640" ht="14.25" customHeight="1">
      <c r="M640" s="7"/>
    </row>
    <row r="641" ht="14.25" customHeight="1">
      <c r="M641" s="7"/>
    </row>
    <row r="642" ht="14.25" customHeight="1">
      <c r="M642" s="7"/>
    </row>
    <row r="643" ht="14.25" customHeight="1">
      <c r="M643" s="7"/>
    </row>
    <row r="644" ht="14.25" customHeight="1">
      <c r="M644" s="7"/>
    </row>
    <row r="645" ht="14.25" customHeight="1">
      <c r="M645" s="7"/>
    </row>
    <row r="646" ht="14.25" customHeight="1">
      <c r="M646" s="7"/>
    </row>
    <row r="647" ht="14.25" customHeight="1">
      <c r="M647" s="7"/>
    </row>
    <row r="648" ht="14.25" customHeight="1">
      <c r="M648" s="7"/>
    </row>
    <row r="649" ht="14.25" customHeight="1">
      <c r="M649" s="7"/>
    </row>
    <row r="650" ht="14.25" customHeight="1">
      <c r="M650" s="7"/>
    </row>
    <row r="651" ht="14.25" customHeight="1">
      <c r="M651" s="7"/>
    </row>
    <row r="652" ht="14.25" customHeight="1">
      <c r="M652" s="7"/>
    </row>
    <row r="653" ht="14.25" customHeight="1">
      <c r="M653" s="7"/>
    </row>
    <row r="654" ht="14.25" customHeight="1">
      <c r="M654" s="7"/>
    </row>
    <row r="655" ht="14.25" customHeight="1">
      <c r="M655" s="7"/>
    </row>
    <row r="656" ht="14.25" customHeight="1">
      <c r="M656" s="7"/>
    </row>
    <row r="657" ht="14.25" customHeight="1">
      <c r="M657" s="7"/>
    </row>
    <row r="658" ht="14.25" customHeight="1">
      <c r="M658" s="7"/>
    </row>
    <row r="659" ht="14.25" customHeight="1">
      <c r="M659" s="7"/>
    </row>
    <row r="660" ht="14.25" customHeight="1">
      <c r="M660" s="7"/>
    </row>
    <row r="661" ht="14.25" customHeight="1">
      <c r="M661" s="7"/>
    </row>
    <row r="662" ht="14.25" customHeight="1">
      <c r="M662" s="7"/>
    </row>
    <row r="663" ht="14.25" customHeight="1">
      <c r="M663" s="7"/>
    </row>
    <row r="664" ht="14.25" customHeight="1">
      <c r="M664" s="7"/>
    </row>
    <row r="665" ht="14.25" customHeight="1">
      <c r="M665" s="7"/>
    </row>
    <row r="666" ht="14.25" customHeight="1">
      <c r="M666" s="7"/>
    </row>
    <row r="667" ht="14.25" customHeight="1">
      <c r="M667" s="7"/>
    </row>
    <row r="668" ht="14.25" customHeight="1">
      <c r="M668" s="7"/>
    </row>
    <row r="669" ht="14.25" customHeight="1">
      <c r="M669" s="7"/>
    </row>
    <row r="670" ht="14.25" customHeight="1">
      <c r="M670" s="7"/>
    </row>
    <row r="671" ht="14.25" customHeight="1">
      <c r="M671" s="7"/>
    </row>
    <row r="672" ht="14.25" customHeight="1">
      <c r="M672" s="7"/>
    </row>
    <row r="673" ht="14.25" customHeight="1">
      <c r="M673" s="7"/>
    </row>
    <row r="674" ht="14.25" customHeight="1">
      <c r="M674" s="7"/>
    </row>
    <row r="675" ht="14.25" customHeight="1">
      <c r="M675" s="7"/>
    </row>
    <row r="676" ht="14.25" customHeight="1">
      <c r="M676" s="7"/>
    </row>
    <row r="677" ht="14.25" customHeight="1">
      <c r="M677" s="7"/>
    </row>
    <row r="678" ht="14.25" customHeight="1">
      <c r="M678" s="7"/>
    </row>
    <row r="679" ht="14.25" customHeight="1">
      <c r="M679" s="7"/>
    </row>
    <row r="680" ht="14.25" customHeight="1">
      <c r="M680" s="7"/>
    </row>
    <row r="681" ht="14.25" customHeight="1">
      <c r="M681" s="7"/>
    </row>
    <row r="682" ht="14.25" customHeight="1">
      <c r="M682" s="7"/>
    </row>
    <row r="683" ht="14.25" customHeight="1">
      <c r="M683" s="7"/>
    </row>
    <row r="684" ht="14.25" customHeight="1">
      <c r="M684" s="7"/>
    </row>
    <row r="685" ht="14.25" customHeight="1">
      <c r="M685" s="7"/>
    </row>
    <row r="686" ht="14.25" customHeight="1">
      <c r="M686" s="7"/>
    </row>
    <row r="687" ht="14.25" customHeight="1">
      <c r="M687" s="7"/>
    </row>
    <row r="688" ht="14.25" customHeight="1">
      <c r="M688" s="7"/>
    </row>
    <row r="689" ht="14.25" customHeight="1">
      <c r="M689" s="7"/>
    </row>
    <row r="690" ht="14.25" customHeight="1">
      <c r="M690" s="7"/>
    </row>
    <row r="691" ht="14.25" customHeight="1">
      <c r="M691" s="7"/>
    </row>
    <row r="692" ht="14.25" customHeight="1">
      <c r="M692" s="7"/>
    </row>
    <row r="693" ht="14.25" customHeight="1">
      <c r="M693" s="7"/>
    </row>
    <row r="694" ht="14.25" customHeight="1">
      <c r="M694" s="7"/>
    </row>
    <row r="695" ht="14.25" customHeight="1">
      <c r="M695" s="7"/>
    </row>
    <row r="696" ht="14.25" customHeight="1">
      <c r="M696" s="7"/>
    </row>
    <row r="697" ht="14.25" customHeight="1">
      <c r="M697" s="7"/>
    </row>
    <row r="698" ht="14.25" customHeight="1">
      <c r="M698" s="7"/>
    </row>
    <row r="699" ht="14.25" customHeight="1">
      <c r="M699" s="7"/>
    </row>
    <row r="700" ht="14.25" customHeight="1">
      <c r="M700" s="7"/>
    </row>
    <row r="701" ht="14.25" customHeight="1">
      <c r="M701" s="7"/>
    </row>
    <row r="702" ht="14.25" customHeight="1">
      <c r="M702" s="7"/>
    </row>
    <row r="703" ht="14.25" customHeight="1">
      <c r="M703" s="7"/>
    </row>
    <row r="704" ht="14.25" customHeight="1">
      <c r="M704" s="7"/>
    </row>
    <row r="705" ht="14.25" customHeight="1">
      <c r="M705" s="7"/>
    </row>
    <row r="706" ht="14.25" customHeight="1">
      <c r="M706" s="7"/>
    </row>
    <row r="707" ht="14.25" customHeight="1">
      <c r="M707" s="7"/>
    </row>
    <row r="708" ht="14.25" customHeight="1">
      <c r="M708" s="7"/>
    </row>
    <row r="709" ht="14.25" customHeight="1">
      <c r="M709" s="7"/>
    </row>
    <row r="710" ht="14.25" customHeight="1">
      <c r="M710" s="7"/>
    </row>
    <row r="711" ht="14.25" customHeight="1">
      <c r="M711" s="7"/>
    </row>
    <row r="712" ht="14.25" customHeight="1">
      <c r="M712" s="7"/>
    </row>
    <row r="713" ht="14.25" customHeight="1">
      <c r="M713" s="7"/>
    </row>
    <row r="714" ht="14.25" customHeight="1">
      <c r="M714" s="7"/>
    </row>
    <row r="715" ht="14.25" customHeight="1">
      <c r="M715" s="7"/>
    </row>
    <row r="716" ht="14.25" customHeight="1">
      <c r="M716" s="7"/>
    </row>
    <row r="717" ht="14.25" customHeight="1">
      <c r="M717" s="7"/>
    </row>
    <row r="718" ht="14.25" customHeight="1">
      <c r="M718" s="7"/>
    </row>
    <row r="719" ht="14.25" customHeight="1">
      <c r="M719" s="7"/>
    </row>
    <row r="720" ht="14.25" customHeight="1">
      <c r="M720" s="7"/>
    </row>
    <row r="721" ht="14.25" customHeight="1">
      <c r="M721" s="7"/>
    </row>
    <row r="722" ht="14.25" customHeight="1">
      <c r="M722" s="7"/>
    </row>
    <row r="723" ht="14.25" customHeight="1">
      <c r="M723" s="7"/>
    </row>
    <row r="724" ht="14.25" customHeight="1">
      <c r="M724" s="7"/>
    </row>
    <row r="725" ht="14.25" customHeight="1">
      <c r="M725" s="7"/>
    </row>
    <row r="726" ht="14.25" customHeight="1">
      <c r="M726" s="7"/>
    </row>
    <row r="727" ht="14.25" customHeight="1">
      <c r="M727" s="7"/>
    </row>
    <row r="728" ht="14.25" customHeight="1">
      <c r="M728" s="7"/>
    </row>
    <row r="729" ht="14.25" customHeight="1">
      <c r="M729" s="7"/>
    </row>
    <row r="730" ht="14.25" customHeight="1">
      <c r="M730" s="7"/>
    </row>
    <row r="731" ht="14.25" customHeight="1">
      <c r="M731" s="7"/>
    </row>
    <row r="732" ht="14.25" customHeight="1">
      <c r="M732" s="7"/>
    </row>
    <row r="733" ht="14.25" customHeight="1">
      <c r="M733" s="7"/>
    </row>
    <row r="734" ht="14.25" customHeight="1">
      <c r="M734" s="7"/>
    </row>
    <row r="735" ht="14.25" customHeight="1">
      <c r="M735" s="7"/>
    </row>
    <row r="736" ht="14.25" customHeight="1">
      <c r="M736" s="7"/>
    </row>
    <row r="737" ht="14.25" customHeight="1">
      <c r="M737" s="7"/>
    </row>
    <row r="738" ht="14.25" customHeight="1">
      <c r="M738" s="7"/>
    </row>
    <row r="739" ht="14.25" customHeight="1">
      <c r="M739" s="7"/>
    </row>
    <row r="740" ht="14.25" customHeight="1">
      <c r="M740" s="7"/>
    </row>
    <row r="741" ht="14.25" customHeight="1">
      <c r="M741" s="7"/>
    </row>
    <row r="742" ht="14.25" customHeight="1">
      <c r="M742" s="7"/>
    </row>
    <row r="743" ht="14.25" customHeight="1">
      <c r="M743" s="7"/>
    </row>
    <row r="744" ht="14.25" customHeight="1">
      <c r="M744" s="7"/>
    </row>
    <row r="745" ht="14.25" customHeight="1">
      <c r="M745" s="7"/>
    </row>
    <row r="746" ht="14.25" customHeight="1">
      <c r="M746" s="7"/>
    </row>
    <row r="747" ht="14.25" customHeight="1">
      <c r="M747" s="7"/>
    </row>
    <row r="748" ht="14.25" customHeight="1">
      <c r="M748" s="7"/>
    </row>
    <row r="749" ht="14.25" customHeight="1">
      <c r="M749" s="7"/>
    </row>
    <row r="750" ht="14.25" customHeight="1">
      <c r="M750" s="7"/>
    </row>
    <row r="751" ht="14.25" customHeight="1">
      <c r="M751" s="7"/>
    </row>
    <row r="752" ht="14.25" customHeight="1">
      <c r="M752" s="7"/>
    </row>
    <row r="753" ht="14.25" customHeight="1">
      <c r="M753" s="7"/>
    </row>
    <row r="754" ht="14.25" customHeight="1">
      <c r="M754" s="7"/>
    </row>
    <row r="755" ht="14.25" customHeight="1">
      <c r="M755" s="7"/>
    </row>
    <row r="756" ht="14.25" customHeight="1">
      <c r="M756" s="7"/>
    </row>
    <row r="757" ht="14.25" customHeight="1">
      <c r="M757" s="7"/>
    </row>
    <row r="758" ht="14.25" customHeight="1">
      <c r="M758" s="7"/>
    </row>
    <row r="759" ht="14.25" customHeight="1">
      <c r="M759" s="7"/>
    </row>
    <row r="760" ht="14.25" customHeight="1">
      <c r="M760" s="7"/>
    </row>
    <row r="761" ht="14.25" customHeight="1">
      <c r="M761" s="7"/>
    </row>
    <row r="762" ht="14.25" customHeight="1">
      <c r="M762" s="7"/>
    </row>
    <row r="763" ht="14.25" customHeight="1">
      <c r="M763" s="7"/>
    </row>
    <row r="764" ht="14.25" customHeight="1">
      <c r="M764" s="7"/>
    </row>
    <row r="765" ht="14.25" customHeight="1">
      <c r="M765" s="7"/>
    </row>
    <row r="766" ht="14.25" customHeight="1">
      <c r="M766" s="7"/>
    </row>
    <row r="767" ht="14.25" customHeight="1">
      <c r="M767" s="7"/>
    </row>
    <row r="768" ht="14.25" customHeight="1">
      <c r="M768" s="7"/>
    </row>
    <row r="769" ht="14.25" customHeight="1">
      <c r="M769" s="7"/>
    </row>
    <row r="770" ht="14.25" customHeight="1">
      <c r="M770" s="7"/>
    </row>
    <row r="771" ht="14.25" customHeight="1">
      <c r="M771" s="7"/>
    </row>
    <row r="772" ht="14.25" customHeight="1">
      <c r="M772" s="7"/>
    </row>
    <row r="773" ht="14.25" customHeight="1">
      <c r="M773" s="7"/>
    </row>
    <row r="774" ht="14.25" customHeight="1">
      <c r="M774" s="7"/>
    </row>
    <row r="775" ht="14.25" customHeight="1">
      <c r="M775" s="7"/>
    </row>
    <row r="776" ht="14.25" customHeight="1">
      <c r="M776" s="7"/>
    </row>
    <row r="777" ht="14.25" customHeight="1">
      <c r="M777" s="7"/>
    </row>
    <row r="778" ht="14.25" customHeight="1">
      <c r="M778" s="7"/>
    </row>
    <row r="779" ht="14.25" customHeight="1">
      <c r="M779" s="7"/>
    </row>
    <row r="780" ht="14.25" customHeight="1">
      <c r="M780" s="7"/>
    </row>
    <row r="781" ht="14.25" customHeight="1">
      <c r="M781" s="7"/>
    </row>
    <row r="782" ht="14.25" customHeight="1">
      <c r="M782" s="7"/>
    </row>
    <row r="783" ht="14.25" customHeight="1">
      <c r="M783" s="7"/>
    </row>
    <row r="784" ht="14.25" customHeight="1">
      <c r="M784" s="7"/>
    </row>
    <row r="785" ht="14.25" customHeight="1">
      <c r="M785" s="7"/>
    </row>
    <row r="786" ht="14.25" customHeight="1">
      <c r="M786" s="7"/>
    </row>
    <row r="787" ht="14.25" customHeight="1">
      <c r="M787" s="7"/>
    </row>
    <row r="788" ht="14.25" customHeight="1">
      <c r="M788" s="7"/>
    </row>
    <row r="789" ht="14.25" customHeight="1">
      <c r="M789" s="7"/>
    </row>
    <row r="790" ht="14.25" customHeight="1">
      <c r="M790" s="7"/>
    </row>
    <row r="791" ht="14.25" customHeight="1">
      <c r="M791" s="7"/>
    </row>
    <row r="792" ht="14.25" customHeight="1">
      <c r="M792" s="7"/>
    </row>
    <row r="793" ht="14.25" customHeight="1">
      <c r="M793" s="7"/>
    </row>
    <row r="794" ht="14.25" customHeight="1">
      <c r="M794" s="7"/>
    </row>
    <row r="795" ht="14.25" customHeight="1">
      <c r="M795" s="7"/>
    </row>
    <row r="796" ht="14.25" customHeight="1">
      <c r="M796" s="7"/>
    </row>
    <row r="797" ht="14.25" customHeight="1">
      <c r="M797" s="7"/>
    </row>
    <row r="798" ht="14.25" customHeight="1">
      <c r="M798" s="7"/>
    </row>
    <row r="799" ht="14.25" customHeight="1">
      <c r="M799" s="7"/>
    </row>
    <row r="800" ht="14.25" customHeight="1">
      <c r="M800" s="7"/>
    </row>
    <row r="801" ht="14.25" customHeight="1">
      <c r="M801" s="7"/>
    </row>
    <row r="802" ht="14.25" customHeight="1">
      <c r="M802" s="7"/>
    </row>
    <row r="803" ht="14.25" customHeight="1">
      <c r="M803" s="7"/>
    </row>
    <row r="804" ht="14.25" customHeight="1">
      <c r="M804" s="7"/>
    </row>
    <row r="805" ht="14.25" customHeight="1">
      <c r="M805" s="7"/>
    </row>
    <row r="806" ht="14.25" customHeight="1">
      <c r="M806" s="7"/>
    </row>
    <row r="807" ht="14.25" customHeight="1">
      <c r="M807" s="7"/>
    </row>
    <row r="808" ht="14.25" customHeight="1">
      <c r="M808" s="7"/>
    </row>
    <row r="809" ht="14.25" customHeight="1">
      <c r="M809" s="7"/>
    </row>
    <row r="810" ht="14.25" customHeight="1">
      <c r="M810" s="7"/>
    </row>
    <row r="811" ht="14.25" customHeight="1">
      <c r="M811" s="7"/>
    </row>
    <row r="812" ht="14.25" customHeight="1">
      <c r="M812" s="7"/>
    </row>
    <row r="813" ht="14.25" customHeight="1">
      <c r="M813" s="7"/>
    </row>
    <row r="814" ht="14.25" customHeight="1">
      <c r="M814" s="7"/>
    </row>
    <row r="815" ht="14.25" customHeight="1">
      <c r="M815" s="7"/>
    </row>
    <row r="816" ht="14.25" customHeight="1">
      <c r="M816" s="7"/>
    </row>
    <row r="817" ht="14.25" customHeight="1">
      <c r="M817" s="7"/>
    </row>
    <row r="818" ht="14.25" customHeight="1">
      <c r="M818" s="7"/>
    </row>
    <row r="819" ht="14.25" customHeight="1">
      <c r="M819" s="7"/>
    </row>
    <row r="820" ht="14.25" customHeight="1">
      <c r="M820" s="7"/>
    </row>
    <row r="821" ht="14.25" customHeight="1">
      <c r="M821" s="7"/>
    </row>
    <row r="822" ht="14.25" customHeight="1">
      <c r="M822" s="7"/>
    </row>
    <row r="823" ht="14.25" customHeight="1">
      <c r="M823" s="7"/>
    </row>
    <row r="824" ht="14.25" customHeight="1">
      <c r="M824" s="7"/>
    </row>
    <row r="825" ht="14.25" customHeight="1">
      <c r="M825" s="7"/>
    </row>
    <row r="826" ht="14.25" customHeight="1">
      <c r="M826" s="7"/>
    </row>
    <row r="827" ht="14.25" customHeight="1">
      <c r="M827" s="7"/>
    </row>
    <row r="828" ht="14.25" customHeight="1">
      <c r="M828" s="7"/>
    </row>
    <row r="829" ht="14.25" customHeight="1">
      <c r="M829" s="7"/>
    </row>
    <row r="830" ht="14.25" customHeight="1">
      <c r="M830" s="7"/>
    </row>
    <row r="831" ht="14.25" customHeight="1">
      <c r="M831" s="7"/>
    </row>
    <row r="832" ht="14.25" customHeight="1">
      <c r="M832" s="7"/>
    </row>
    <row r="833" ht="14.25" customHeight="1">
      <c r="M833" s="7"/>
    </row>
    <row r="834" ht="14.25" customHeight="1">
      <c r="M834" s="7"/>
    </row>
    <row r="835" ht="14.25" customHeight="1">
      <c r="M835" s="7"/>
    </row>
    <row r="836" ht="14.25" customHeight="1">
      <c r="M836" s="7"/>
    </row>
    <row r="837" ht="14.25" customHeight="1">
      <c r="M837" s="7"/>
    </row>
    <row r="838" ht="14.25" customHeight="1">
      <c r="M838" s="7"/>
    </row>
    <row r="839" ht="14.25" customHeight="1">
      <c r="M839" s="7"/>
    </row>
    <row r="840" ht="14.25" customHeight="1">
      <c r="M840" s="7"/>
    </row>
    <row r="841" ht="14.25" customHeight="1">
      <c r="M841" s="7"/>
    </row>
    <row r="842" ht="14.25" customHeight="1">
      <c r="M842" s="7"/>
    </row>
    <row r="843" ht="14.25" customHeight="1">
      <c r="M843" s="7"/>
    </row>
    <row r="844" ht="14.25" customHeight="1">
      <c r="M844" s="7"/>
    </row>
    <row r="845" ht="14.25" customHeight="1">
      <c r="M845" s="7"/>
    </row>
    <row r="846" ht="14.25" customHeight="1">
      <c r="M846" s="7"/>
    </row>
    <row r="847" ht="14.25" customHeight="1">
      <c r="M847" s="7"/>
    </row>
    <row r="848" ht="14.25" customHeight="1">
      <c r="M848" s="7"/>
    </row>
    <row r="849" ht="14.25" customHeight="1">
      <c r="M849" s="7"/>
    </row>
    <row r="850" ht="14.25" customHeight="1">
      <c r="M850" s="7"/>
    </row>
    <row r="851" ht="14.25" customHeight="1">
      <c r="M851" s="7"/>
    </row>
    <row r="852" ht="14.25" customHeight="1">
      <c r="M852" s="7"/>
    </row>
    <row r="853" ht="14.25" customHeight="1">
      <c r="M853" s="7"/>
    </row>
    <row r="854" ht="14.25" customHeight="1">
      <c r="M854" s="7"/>
    </row>
    <row r="855" ht="14.25" customHeight="1">
      <c r="M855" s="7"/>
    </row>
    <row r="856" ht="14.25" customHeight="1">
      <c r="M856" s="7"/>
    </row>
    <row r="857" ht="14.25" customHeight="1">
      <c r="M857" s="7"/>
    </row>
    <row r="858" ht="14.25" customHeight="1">
      <c r="M858" s="7"/>
    </row>
    <row r="859" ht="14.25" customHeight="1">
      <c r="M859" s="7"/>
    </row>
    <row r="860" ht="14.25" customHeight="1">
      <c r="M860" s="7"/>
    </row>
    <row r="861" ht="14.25" customHeight="1">
      <c r="M861" s="7"/>
    </row>
    <row r="862" ht="14.25" customHeight="1">
      <c r="M862" s="7"/>
    </row>
    <row r="863" ht="14.25" customHeight="1">
      <c r="M863" s="7"/>
    </row>
    <row r="864" ht="14.25" customHeight="1">
      <c r="M864" s="7"/>
    </row>
    <row r="865" ht="14.25" customHeight="1">
      <c r="M865" s="7"/>
    </row>
    <row r="866" ht="14.25" customHeight="1">
      <c r="M866" s="7"/>
    </row>
    <row r="867" ht="14.25" customHeight="1">
      <c r="M867" s="7"/>
    </row>
    <row r="868" ht="14.25" customHeight="1">
      <c r="M868" s="7"/>
    </row>
    <row r="869" ht="14.25" customHeight="1">
      <c r="M869" s="7"/>
    </row>
    <row r="870" ht="14.25" customHeight="1">
      <c r="M870" s="7"/>
    </row>
    <row r="871" ht="14.25" customHeight="1">
      <c r="M871" s="7"/>
    </row>
    <row r="872" ht="14.25" customHeight="1">
      <c r="M872" s="7"/>
    </row>
    <row r="873" ht="14.25" customHeight="1">
      <c r="M873" s="7"/>
    </row>
    <row r="874" ht="14.25" customHeight="1">
      <c r="M874" s="7"/>
    </row>
    <row r="875" ht="14.25" customHeight="1">
      <c r="M875" s="7"/>
    </row>
    <row r="876" ht="14.25" customHeight="1">
      <c r="M876" s="7"/>
    </row>
    <row r="877" ht="14.25" customHeight="1">
      <c r="M877" s="7"/>
    </row>
    <row r="878" ht="14.25" customHeight="1">
      <c r="M878" s="7"/>
    </row>
    <row r="879" ht="14.25" customHeight="1">
      <c r="M879" s="7"/>
    </row>
    <row r="880" ht="14.25" customHeight="1">
      <c r="M880" s="7"/>
    </row>
    <row r="881" ht="14.25" customHeight="1">
      <c r="M881" s="7"/>
    </row>
    <row r="882" ht="14.25" customHeight="1">
      <c r="M882" s="7"/>
    </row>
    <row r="883" ht="14.25" customHeight="1">
      <c r="M883" s="7"/>
    </row>
    <row r="884" ht="14.25" customHeight="1">
      <c r="M884" s="7"/>
    </row>
    <row r="885" ht="14.25" customHeight="1">
      <c r="M885" s="7"/>
    </row>
    <row r="886" ht="14.25" customHeight="1">
      <c r="M886" s="7"/>
    </row>
    <row r="887" ht="14.25" customHeight="1">
      <c r="M887" s="7"/>
    </row>
    <row r="888" ht="14.25" customHeight="1">
      <c r="M888" s="7"/>
    </row>
    <row r="889" ht="14.25" customHeight="1">
      <c r="M889" s="7"/>
    </row>
    <row r="890" ht="14.25" customHeight="1">
      <c r="M890" s="7"/>
    </row>
    <row r="891" ht="14.25" customHeight="1">
      <c r="M891" s="7"/>
    </row>
    <row r="892" ht="14.25" customHeight="1">
      <c r="M892" s="7"/>
    </row>
    <row r="893" ht="14.25" customHeight="1">
      <c r="M893" s="7"/>
    </row>
    <row r="894" ht="14.25" customHeight="1">
      <c r="M894" s="7"/>
    </row>
    <row r="895" ht="14.25" customHeight="1">
      <c r="M895" s="7"/>
    </row>
    <row r="896" ht="14.25" customHeight="1">
      <c r="M896" s="7"/>
    </row>
    <row r="897" ht="14.25" customHeight="1">
      <c r="M897" s="7"/>
    </row>
    <row r="898" ht="14.25" customHeight="1">
      <c r="M898" s="7"/>
    </row>
    <row r="899" ht="14.25" customHeight="1">
      <c r="M899" s="7"/>
    </row>
    <row r="900" ht="14.25" customHeight="1">
      <c r="M900" s="7"/>
    </row>
    <row r="901" ht="14.25" customHeight="1">
      <c r="M901" s="7"/>
    </row>
    <row r="902" ht="14.25" customHeight="1">
      <c r="M902" s="7"/>
    </row>
    <row r="903" ht="14.25" customHeight="1">
      <c r="M903" s="7"/>
    </row>
    <row r="904" ht="14.25" customHeight="1">
      <c r="M904" s="7"/>
    </row>
    <row r="905" ht="14.25" customHeight="1">
      <c r="M905" s="7"/>
    </row>
    <row r="906" ht="14.25" customHeight="1">
      <c r="M906" s="7"/>
    </row>
    <row r="907" ht="14.25" customHeight="1">
      <c r="M907" s="7"/>
    </row>
    <row r="908" ht="14.25" customHeight="1">
      <c r="M908" s="7"/>
    </row>
    <row r="909" ht="14.25" customHeight="1">
      <c r="M909" s="7"/>
    </row>
    <row r="910" ht="14.25" customHeight="1">
      <c r="M910" s="7"/>
    </row>
    <row r="911" ht="14.25" customHeight="1">
      <c r="M911" s="7"/>
    </row>
    <row r="912" ht="14.25" customHeight="1">
      <c r="M912" s="7"/>
    </row>
    <row r="913" ht="14.25" customHeight="1">
      <c r="M913" s="7"/>
    </row>
    <row r="914" ht="14.25" customHeight="1">
      <c r="M914" s="7"/>
    </row>
    <row r="915" ht="14.25" customHeight="1">
      <c r="M915" s="7"/>
    </row>
    <row r="916" ht="14.25" customHeight="1">
      <c r="M916" s="7"/>
    </row>
    <row r="917" ht="14.25" customHeight="1">
      <c r="M917" s="7"/>
    </row>
    <row r="918" ht="14.25" customHeight="1">
      <c r="M918" s="7"/>
    </row>
    <row r="919" ht="14.25" customHeight="1">
      <c r="M919" s="7"/>
    </row>
    <row r="920" ht="14.25" customHeight="1">
      <c r="M920" s="7"/>
    </row>
    <row r="921" ht="14.25" customHeight="1">
      <c r="M921" s="7"/>
    </row>
    <row r="922" ht="14.25" customHeight="1">
      <c r="M922" s="7"/>
    </row>
    <row r="923" ht="14.25" customHeight="1">
      <c r="M923" s="7"/>
    </row>
    <row r="924" ht="14.25" customHeight="1">
      <c r="M924" s="7"/>
    </row>
    <row r="925" ht="14.25" customHeight="1">
      <c r="M925" s="7"/>
    </row>
    <row r="926" ht="14.25" customHeight="1">
      <c r="M926" s="7"/>
    </row>
    <row r="927" ht="14.25" customHeight="1">
      <c r="M927" s="7"/>
    </row>
    <row r="928" ht="14.25" customHeight="1">
      <c r="M928" s="7"/>
    </row>
    <row r="929" ht="14.25" customHeight="1">
      <c r="M929" s="7"/>
    </row>
    <row r="930" ht="14.25" customHeight="1">
      <c r="M930" s="7"/>
    </row>
    <row r="931" ht="14.25" customHeight="1">
      <c r="M931" s="7"/>
    </row>
    <row r="932" ht="14.25" customHeight="1">
      <c r="M932" s="7"/>
    </row>
    <row r="933" ht="14.25" customHeight="1">
      <c r="M933" s="7"/>
    </row>
    <row r="934" ht="14.25" customHeight="1">
      <c r="M934" s="7"/>
    </row>
    <row r="935" ht="14.25" customHeight="1">
      <c r="M935" s="7"/>
    </row>
    <row r="936" ht="14.25" customHeight="1">
      <c r="M936" s="7"/>
    </row>
    <row r="937" ht="14.25" customHeight="1">
      <c r="M937" s="7"/>
    </row>
    <row r="938" ht="14.25" customHeight="1">
      <c r="M938" s="7"/>
    </row>
    <row r="939" ht="14.25" customHeight="1">
      <c r="M939" s="7"/>
    </row>
    <row r="940" ht="14.25" customHeight="1">
      <c r="M940" s="7"/>
    </row>
    <row r="941" ht="14.25" customHeight="1">
      <c r="M941" s="7"/>
    </row>
    <row r="942" ht="14.25" customHeight="1">
      <c r="M942" s="7"/>
    </row>
    <row r="943" ht="14.25" customHeight="1">
      <c r="M943" s="7"/>
    </row>
    <row r="944" ht="14.25" customHeight="1">
      <c r="M944" s="7"/>
    </row>
    <row r="945" ht="14.25" customHeight="1">
      <c r="M945" s="7"/>
    </row>
    <row r="946" ht="14.25" customHeight="1">
      <c r="M946" s="7"/>
    </row>
    <row r="947" ht="14.25" customHeight="1">
      <c r="M947" s="7"/>
    </row>
    <row r="948" ht="14.25" customHeight="1">
      <c r="M948" s="7"/>
    </row>
    <row r="949" ht="14.25" customHeight="1">
      <c r="M949" s="7"/>
    </row>
    <row r="950" ht="14.25" customHeight="1">
      <c r="M950" s="7"/>
    </row>
    <row r="951" ht="14.25" customHeight="1">
      <c r="M951" s="7"/>
    </row>
    <row r="952" ht="14.25" customHeight="1">
      <c r="M952" s="7"/>
    </row>
    <row r="953" ht="14.25" customHeight="1">
      <c r="M953" s="7"/>
    </row>
    <row r="954" ht="14.25" customHeight="1">
      <c r="M954" s="7"/>
    </row>
    <row r="955" ht="14.25" customHeight="1">
      <c r="M955" s="7"/>
    </row>
    <row r="956" ht="14.25" customHeight="1">
      <c r="M956" s="7"/>
    </row>
    <row r="957" ht="14.25" customHeight="1">
      <c r="M957" s="7"/>
    </row>
    <row r="958" ht="14.25" customHeight="1">
      <c r="M958" s="7"/>
    </row>
    <row r="959" ht="14.25" customHeight="1">
      <c r="M959" s="7"/>
    </row>
    <row r="960" ht="14.25" customHeight="1">
      <c r="M960" s="7"/>
    </row>
    <row r="961" ht="14.25" customHeight="1">
      <c r="M961" s="7"/>
    </row>
    <row r="962" ht="14.25" customHeight="1">
      <c r="M962" s="7"/>
    </row>
    <row r="963" ht="14.25" customHeight="1">
      <c r="M963" s="7"/>
    </row>
    <row r="964" ht="14.25" customHeight="1">
      <c r="M964" s="7"/>
    </row>
    <row r="965" ht="14.25" customHeight="1">
      <c r="M965" s="7"/>
    </row>
    <row r="966" ht="14.25" customHeight="1">
      <c r="M966" s="7"/>
    </row>
    <row r="967" ht="14.25" customHeight="1">
      <c r="M967" s="7"/>
    </row>
    <row r="968" ht="14.25" customHeight="1">
      <c r="M968" s="7"/>
    </row>
    <row r="969" ht="14.25" customHeight="1">
      <c r="M969" s="7"/>
    </row>
    <row r="970" ht="14.25" customHeight="1">
      <c r="M970" s="7"/>
    </row>
    <row r="971" ht="14.25" customHeight="1">
      <c r="M971" s="7"/>
    </row>
    <row r="972" ht="14.25" customHeight="1">
      <c r="M972" s="7"/>
    </row>
    <row r="973" ht="14.25" customHeight="1">
      <c r="M973" s="7"/>
    </row>
    <row r="974" ht="14.25" customHeight="1">
      <c r="M974" s="7"/>
    </row>
    <row r="975" ht="14.25" customHeight="1">
      <c r="M975" s="7"/>
    </row>
    <row r="976" ht="14.25" customHeight="1">
      <c r="M976" s="7"/>
    </row>
    <row r="977" ht="14.25" customHeight="1">
      <c r="M977" s="7"/>
    </row>
    <row r="978" ht="14.25" customHeight="1">
      <c r="M978" s="7"/>
    </row>
    <row r="979" ht="14.25" customHeight="1">
      <c r="M979" s="7"/>
    </row>
    <row r="980" ht="14.25" customHeight="1">
      <c r="M980" s="7"/>
    </row>
    <row r="981" ht="14.25" customHeight="1">
      <c r="M981" s="7"/>
    </row>
    <row r="982" ht="14.25" customHeight="1">
      <c r="M982" s="7"/>
    </row>
    <row r="983" ht="14.25" customHeight="1">
      <c r="M983" s="7"/>
    </row>
    <row r="984" ht="14.25" customHeight="1">
      <c r="M984" s="7"/>
    </row>
    <row r="985" ht="14.25" customHeight="1">
      <c r="M985" s="7"/>
    </row>
    <row r="986" ht="14.25" customHeight="1">
      <c r="M986" s="7"/>
    </row>
    <row r="987" ht="14.25" customHeight="1">
      <c r="M987" s="7"/>
    </row>
    <row r="988" ht="14.25" customHeight="1">
      <c r="M988" s="7"/>
    </row>
    <row r="989" ht="14.25" customHeight="1">
      <c r="M989" s="7"/>
    </row>
    <row r="990" ht="14.25" customHeight="1">
      <c r="M990" s="7"/>
    </row>
    <row r="991" ht="14.25" customHeight="1">
      <c r="M991" s="7"/>
    </row>
    <row r="992" ht="14.25" customHeight="1">
      <c r="M992" s="7"/>
    </row>
    <row r="993" ht="14.25" customHeight="1">
      <c r="M993" s="7"/>
    </row>
    <row r="994" ht="14.25" customHeight="1">
      <c r="M994" s="7"/>
    </row>
    <row r="995" ht="14.25" customHeight="1">
      <c r="M995" s="7"/>
    </row>
    <row r="996" ht="14.25" customHeight="1">
      <c r="M996" s="7"/>
    </row>
    <row r="997" ht="14.25" customHeight="1">
      <c r="M997" s="7"/>
    </row>
    <row r="998" ht="14.25" customHeight="1">
      <c r="M998" s="7"/>
    </row>
    <row r="999" ht="14.25" customHeight="1">
      <c r="M999" s="7"/>
    </row>
    <row r="1000" ht="14.25" customHeight="1">
      <c r="M1000" s="7"/>
    </row>
  </sheetData>
  <mergeCells count="59">
    <mergeCell ref="D41:M41"/>
    <mergeCell ref="D42:M42"/>
    <mergeCell ref="B33:C35"/>
    <mergeCell ref="D33:M33"/>
    <mergeCell ref="D34:M34"/>
    <mergeCell ref="D35:M35"/>
    <mergeCell ref="D37:M37"/>
    <mergeCell ref="D38:M38"/>
    <mergeCell ref="D43:M43"/>
    <mergeCell ref="D67:M67"/>
    <mergeCell ref="D68:M68"/>
    <mergeCell ref="D59:M59"/>
    <mergeCell ref="D60:M60"/>
    <mergeCell ref="D61:M61"/>
    <mergeCell ref="D63:M63"/>
    <mergeCell ref="D64:M64"/>
    <mergeCell ref="D65:M65"/>
    <mergeCell ref="D66:M66"/>
    <mergeCell ref="F2:I4"/>
    <mergeCell ref="B5:M6"/>
    <mergeCell ref="B7:M8"/>
    <mergeCell ref="D9:H9"/>
    <mergeCell ref="I9:M9"/>
    <mergeCell ref="D10:H11"/>
    <mergeCell ref="I10:M11"/>
    <mergeCell ref="B10:C11"/>
    <mergeCell ref="B12:C14"/>
    <mergeCell ref="D12:H14"/>
    <mergeCell ref="I12:M14"/>
    <mergeCell ref="B15:C17"/>
    <mergeCell ref="D15:H17"/>
    <mergeCell ref="I15:M17"/>
    <mergeCell ref="D30:M30"/>
    <mergeCell ref="D31:M31"/>
    <mergeCell ref="B18:C21"/>
    <mergeCell ref="D18:H21"/>
    <mergeCell ref="I18:M21"/>
    <mergeCell ref="B23:M24"/>
    <mergeCell ref="B26:M27"/>
    <mergeCell ref="B29:C31"/>
    <mergeCell ref="D29:M29"/>
    <mergeCell ref="D39:M39"/>
    <mergeCell ref="D40:M40"/>
    <mergeCell ref="B37:C43"/>
    <mergeCell ref="B45:C46"/>
    <mergeCell ref="B55:C57"/>
    <mergeCell ref="B59:C61"/>
    <mergeCell ref="B63:C69"/>
    <mergeCell ref="B71:C72"/>
    <mergeCell ref="D69:M69"/>
    <mergeCell ref="D71:M71"/>
    <mergeCell ref="D72:M72"/>
    <mergeCell ref="D45:M45"/>
    <mergeCell ref="D46:M46"/>
    <mergeCell ref="B49:M50"/>
    <mergeCell ref="B52:M53"/>
    <mergeCell ref="D55:M55"/>
    <mergeCell ref="D56:M56"/>
    <mergeCell ref="D57:M57"/>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17.29"/>
    <col customWidth="1" min="2" max="2" width="55.29"/>
    <col customWidth="1" min="3" max="3" width="10.57"/>
    <col customWidth="1" min="4" max="4" width="18.29"/>
    <col customWidth="1" min="5" max="5" width="25.29"/>
    <col customWidth="1" min="6" max="7" width="8.71"/>
    <col customWidth="1" min="8" max="8" width="195.29"/>
    <col customWidth="1" min="9" max="9" width="27.71"/>
    <col customWidth="1" min="10" max="26" width="8.71"/>
  </cols>
  <sheetData>
    <row r="1" ht="14.25" customHeight="1">
      <c r="A1" s="107" t="s">
        <v>90</v>
      </c>
      <c r="K1" s="7"/>
      <c r="L1" s="7"/>
      <c r="M1" s="7"/>
      <c r="N1" s="7"/>
      <c r="O1" s="7"/>
      <c r="P1" s="7"/>
      <c r="Q1" s="7"/>
      <c r="R1" s="7"/>
      <c r="S1" s="7"/>
      <c r="T1" s="7"/>
      <c r="U1" s="7"/>
      <c r="V1" s="7"/>
      <c r="W1" s="7"/>
      <c r="X1" s="7"/>
      <c r="Y1" s="7"/>
      <c r="Z1" s="7"/>
    </row>
    <row r="2" ht="14.25" customHeight="1">
      <c r="A2" s="107"/>
      <c r="B2" s="107"/>
      <c r="C2" s="107"/>
      <c r="D2" s="107"/>
      <c r="E2" s="108" t="str">
        <f>"This report has been generated to inform departmental leadership of the unique and personal challenges"&amp;" "&amp;IF('Answer Sheet'!D9&lt;&gt;"",'Answer Sheet'!D9,"a worker")&amp;" has reported when performing the job duty of"&amp;" "&amp;IF('Answer Sheet'!N9&lt;&gt;"",'Answer Sheet'!N9,"")&amp;"."&amp;" Ergonomic hazards associated with contact stress, force, awkward posture and repetition are prioritized based on the level of risk."&amp;" The worker has been in this occupation for "&amp;'Answer Sheet'!G10&amp;" of which "&amp;'Answer Sheet'!U10&amp;" has been with the City."</f>
        <v>This report has been generated to inform departmental leadership of the unique and personal challenges a worker has reported when performing the job duty of . Ergonomic hazards associated with contact stress, force, awkward posture and repetition are prioritized based on the level of risk. The worker has been in this occupation for  of which  has been with the City.</v>
      </c>
      <c r="I2" s="107"/>
      <c r="J2" s="107"/>
      <c r="K2" s="7"/>
      <c r="L2" s="7"/>
      <c r="M2" s="7"/>
      <c r="N2" s="7"/>
      <c r="O2" s="7"/>
      <c r="P2" s="7"/>
      <c r="Q2" s="7"/>
      <c r="R2" s="7"/>
      <c r="S2" s="7"/>
      <c r="T2" s="7"/>
      <c r="U2" s="7"/>
      <c r="V2" s="7"/>
      <c r="W2" s="7"/>
      <c r="X2" s="7"/>
      <c r="Y2" s="7"/>
      <c r="Z2" s="7"/>
    </row>
    <row r="3" ht="14.25" customHeight="1">
      <c r="A3" s="107"/>
      <c r="B3" s="107"/>
      <c r="C3" s="107"/>
      <c r="D3" s="107"/>
      <c r="I3" s="107"/>
      <c r="J3" s="107"/>
      <c r="K3" s="7"/>
      <c r="L3" s="7"/>
      <c r="M3" s="7"/>
      <c r="N3" s="7"/>
      <c r="O3" s="7"/>
      <c r="P3" s="7"/>
      <c r="Q3" s="7"/>
      <c r="R3" s="7"/>
      <c r="S3" s="7"/>
      <c r="T3" s="7"/>
      <c r="U3" s="7"/>
      <c r="V3" s="7"/>
      <c r="W3" s="7"/>
      <c r="X3" s="7"/>
      <c r="Y3" s="7"/>
      <c r="Z3" s="7"/>
    </row>
    <row r="4" ht="14.25" customHeight="1">
      <c r="A4" s="7"/>
      <c r="B4" s="7"/>
      <c r="C4" s="7"/>
      <c r="D4" s="7"/>
      <c r="E4" s="7"/>
      <c r="F4" s="7"/>
      <c r="G4" s="7"/>
      <c r="H4" s="7"/>
      <c r="I4" s="7"/>
      <c r="J4" s="7"/>
      <c r="K4" s="7"/>
      <c r="L4" s="7"/>
      <c r="M4" s="7"/>
      <c r="N4" s="7"/>
      <c r="O4" s="7"/>
      <c r="P4" s="7"/>
      <c r="Q4" s="7"/>
      <c r="R4" s="7"/>
      <c r="S4" s="7"/>
      <c r="T4" s="7"/>
      <c r="U4" s="7"/>
      <c r="V4" s="7"/>
      <c r="W4" s="7"/>
      <c r="X4" s="7"/>
      <c r="Y4" s="7"/>
      <c r="Z4" s="7"/>
    </row>
    <row r="5" ht="14.25" customHeight="1">
      <c r="A5" s="108" t="s">
        <v>91</v>
      </c>
      <c r="B5" s="109" t="s">
        <v>92</v>
      </c>
      <c r="C5" s="7" t="s">
        <v>93</v>
      </c>
      <c r="D5" s="7" t="s">
        <v>94</v>
      </c>
      <c r="E5" s="110" t="s">
        <v>95</v>
      </c>
      <c r="I5" s="7"/>
      <c r="J5" s="7"/>
      <c r="K5" s="7"/>
      <c r="L5" s="7"/>
      <c r="M5" s="7"/>
      <c r="N5" s="7"/>
      <c r="O5" s="7"/>
      <c r="P5" s="7"/>
      <c r="Q5" s="7"/>
      <c r="R5" s="7"/>
      <c r="S5" s="7"/>
      <c r="T5" s="7"/>
      <c r="U5" s="7"/>
      <c r="V5" s="7"/>
      <c r="W5" s="7"/>
      <c r="X5" s="7"/>
      <c r="Y5" s="7"/>
      <c r="Z5" s="7"/>
    </row>
    <row r="6" ht="14.25" customHeight="1">
      <c r="C6" s="7" t="s">
        <v>96</v>
      </c>
      <c r="D6" s="7" t="s">
        <v>97</v>
      </c>
      <c r="E6" s="110" t="s">
        <v>98</v>
      </c>
      <c r="I6" s="55"/>
      <c r="J6" s="7"/>
      <c r="K6" s="7"/>
      <c r="L6" s="7"/>
      <c r="M6" s="7"/>
      <c r="N6" s="7"/>
      <c r="O6" s="7"/>
      <c r="P6" s="7"/>
      <c r="Q6" s="7"/>
      <c r="R6" s="7"/>
      <c r="S6" s="7"/>
      <c r="T6" s="7"/>
      <c r="U6" s="7"/>
      <c r="V6" s="7"/>
      <c r="W6" s="7"/>
      <c r="X6" s="7"/>
      <c r="Y6" s="7"/>
      <c r="Z6" s="7"/>
    </row>
    <row r="7" ht="14.25" customHeight="1">
      <c r="A7" s="81"/>
      <c r="B7" s="80"/>
      <c r="C7" s="7"/>
      <c r="D7" s="7"/>
      <c r="E7" s="7"/>
      <c r="F7" s="7"/>
      <c r="G7" s="111"/>
      <c r="H7" s="7"/>
      <c r="I7" s="55"/>
      <c r="J7" s="7"/>
      <c r="K7" s="7"/>
      <c r="L7" s="7"/>
      <c r="M7" s="7"/>
      <c r="N7" s="7"/>
      <c r="O7" s="7"/>
      <c r="P7" s="7"/>
      <c r="Q7" s="7"/>
      <c r="R7" s="7"/>
      <c r="S7" s="7"/>
      <c r="T7" s="7"/>
      <c r="U7" s="7"/>
      <c r="V7" s="7"/>
      <c r="W7" s="7"/>
      <c r="X7" s="7"/>
      <c r="Y7" s="7"/>
      <c r="Z7" s="7"/>
    </row>
    <row r="8" ht="14.25" customHeight="1">
      <c r="A8" s="111" t="s">
        <v>99</v>
      </c>
      <c r="B8" s="109" t="s">
        <v>100</v>
      </c>
      <c r="C8" s="7" t="s">
        <v>101</v>
      </c>
      <c r="D8" s="7" t="s">
        <v>102</v>
      </c>
      <c r="E8" s="110" t="s">
        <v>103</v>
      </c>
      <c r="I8" s="55"/>
      <c r="J8" s="7"/>
      <c r="K8" s="7"/>
      <c r="L8" s="7"/>
      <c r="M8" s="7"/>
      <c r="N8" s="7"/>
      <c r="O8" s="7"/>
      <c r="P8" s="7"/>
      <c r="Q8" s="7"/>
      <c r="R8" s="7"/>
      <c r="S8" s="7"/>
      <c r="T8" s="7"/>
      <c r="U8" s="7"/>
      <c r="V8" s="7"/>
      <c r="W8" s="7"/>
      <c r="X8" s="7"/>
      <c r="Y8" s="7"/>
      <c r="Z8" s="7"/>
    </row>
    <row r="9" ht="14.25" customHeight="1">
      <c r="C9" s="7" t="s">
        <v>104</v>
      </c>
      <c r="D9" s="7" t="s">
        <v>105</v>
      </c>
      <c r="E9" s="110" t="s">
        <v>106</v>
      </c>
      <c r="I9" s="55"/>
      <c r="J9" s="7"/>
      <c r="K9" s="7"/>
      <c r="L9" s="7"/>
      <c r="M9" s="7"/>
      <c r="N9" s="7"/>
      <c r="O9" s="7"/>
      <c r="P9" s="7"/>
      <c r="Q9" s="7"/>
      <c r="R9" s="7"/>
      <c r="S9" s="7"/>
      <c r="T9" s="7"/>
      <c r="U9" s="7"/>
      <c r="V9" s="7"/>
      <c r="W9" s="7"/>
      <c r="X9" s="7"/>
      <c r="Y9" s="7"/>
      <c r="Z9" s="7"/>
    </row>
    <row r="10" ht="14.25" customHeight="1">
      <c r="C10" s="7" t="s">
        <v>107</v>
      </c>
      <c r="D10" s="7" t="s">
        <v>108</v>
      </c>
      <c r="E10" s="110" t="s">
        <v>109</v>
      </c>
      <c r="I10" s="55"/>
      <c r="J10" s="7"/>
      <c r="K10" s="7"/>
      <c r="L10" s="7"/>
      <c r="M10" s="7"/>
      <c r="N10" s="7"/>
      <c r="O10" s="7"/>
      <c r="P10" s="7"/>
      <c r="Q10" s="7"/>
      <c r="R10" s="7"/>
      <c r="S10" s="7"/>
      <c r="T10" s="7"/>
      <c r="U10" s="7"/>
      <c r="V10" s="7"/>
      <c r="W10" s="7"/>
      <c r="X10" s="7"/>
      <c r="Y10" s="7"/>
      <c r="Z10" s="7"/>
    </row>
    <row r="11" ht="14.25" customHeight="1">
      <c r="C11" s="7" t="s">
        <v>110</v>
      </c>
      <c r="D11" s="7" t="s">
        <v>111</v>
      </c>
      <c r="E11" s="110" t="s">
        <v>112</v>
      </c>
      <c r="I11" s="55"/>
      <c r="J11" s="7"/>
      <c r="K11" s="7"/>
      <c r="L11" s="7"/>
      <c r="M11" s="7"/>
      <c r="N11" s="7"/>
      <c r="O11" s="7"/>
      <c r="P11" s="7"/>
      <c r="Q11" s="7"/>
      <c r="R11" s="7"/>
      <c r="S11" s="7"/>
      <c r="T11" s="7"/>
      <c r="U11" s="7"/>
      <c r="V11" s="7"/>
      <c r="W11" s="7"/>
      <c r="X11" s="7"/>
      <c r="Y11" s="7"/>
      <c r="Z11" s="7"/>
    </row>
    <row r="12" ht="14.25" customHeight="1">
      <c r="A12" s="111"/>
      <c r="B12" s="109"/>
      <c r="C12" s="7"/>
      <c r="D12" s="7"/>
      <c r="E12" s="110"/>
      <c r="F12" s="110"/>
      <c r="G12" s="110"/>
      <c r="H12" s="110"/>
      <c r="I12" s="55"/>
      <c r="J12" s="7"/>
      <c r="K12" s="7"/>
      <c r="L12" s="7"/>
      <c r="M12" s="7"/>
      <c r="N12" s="7"/>
      <c r="O12" s="7"/>
      <c r="P12" s="7"/>
      <c r="Q12" s="7"/>
      <c r="R12" s="7"/>
      <c r="S12" s="7"/>
      <c r="T12" s="7"/>
      <c r="U12" s="7"/>
      <c r="V12" s="7"/>
      <c r="W12" s="7"/>
      <c r="X12" s="7"/>
      <c r="Y12" s="7"/>
      <c r="Z12" s="7"/>
    </row>
    <row r="13" ht="14.25" customHeight="1">
      <c r="A13" s="109" t="s">
        <v>113</v>
      </c>
      <c r="B13" s="109" t="s">
        <v>114</v>
      </c>
      <c r="C13" s="55" t="s">
        <v>115</v>
      </c>
      <c r="D13" s="7" t="s">
        <v>116</v>
      </c>
      <c r="E13" s="7"/>
      <c r="F13" s="7"/>
      <c r="G13" s="55"/>
      <c r="H13" s="7"/>
      <c r="I13" s="55"/>
      <c r="J13" s="7"/>
      <c r="K13" s="7"/>
      <c r="L13" s="7"/>
      <c r="M13" s="7"/>
      <c r="N13" s="7"/>
      <c r="O13" s="7"/>
      <c r="P13" s="7"/>
      <c r="Q13" s="7"/>
      <c r="R13" s="7"/>
      <c r="S13" s="7"/>
      <c r="T13" s="7"/>
      <c r="U13" s="7"/>
      <c r="V13" s="7"/>
      <c r="W13" s="7"/>
      <c r="X13" s="7"/>
      <c r="Y13" s="7"/>
      <c r="Z13" s="7"/>
    </row>
    <row r="14" ht="14.25" customHeight="1">
      <c r="A14" s="80">
        <f>COUNTIF('Matrix - Part 2'!I5:I23,"=4")</f>
        <v>0</v>
      </c>
      <c r="B14" s="80">
        <f>COUNTIF('Matrix - Part 2'!I5:I23,"=3")</f>
        <v>0</v>
      </c>
      <c r="C14" s="7">
        <f>COUNTIF('Matrix - Part 2'!I5:I23,"=2")</f>
        <v>0</v>
      </c>
      <c r="D14" s="7">
        <f>COUNTIF('Matrix - Part 2'!I5:I23,"=1")</f>
        <v>0</v>
      </c>
      <c r="E14" s="7"/>
      <c r="F14" s="7"/>
      <c r="G14" s="111"/>
      <c r="H14" s="7"/>
      <c r="I14" s="55"/>
      <c r="J14" s="7"/>
      <c r="K14" s="7"/>
      <c r="L14" s="7"/>
      <c r="M14" s="7"/>
      <c r="N14" s="7"/>
      <c r="O14" s="7"/>
      <c r="P14" s="7"/>
      <c r="Q14" s="7"/>
      <c r="R14" s="7"/>
      <c r="S14" s="7"/>
      <c r="T14" s="7"/>
      <c r="U14" s="7"/>
      <c r="V14" s="7"/>
      <c r="W14" s="7"/>
      <c r="X14" s="7"/>
      <c r="Y14" s="7"/>
      <c r="Z14" s="7"/>
    </row>
    <row r="15" ht="14.25" customHeight="1">
      <c r="A15" s="7">
        <f>COUNTIF('Matrix - Part 3'!I4:I20,"=4")</f>
        <v>0</v>
      </c>
      <c r="B15" s="7">
        <f>COUNTIF('Matrix - Part 3'!I4:I20,"=3")</f>
        <v>0</v>
      </c>
      <c r="C15" s="7">
        <f>COUNTIF('Matrix - Part 3'!I4:I20,"=2")</f>
        <v>0</v>
      </c>
      <c r="D15" s="7">
        <f>COUNTIF('Matrix - Part 3'!I4:I20,"=1")</f>
        <v>0</v>
      </c>
      <c r="E15" s="7"/>
      <c r="F15" s="7"/>
      <c r="G15" s="7"/>
      <c r="H15" s="7"/>
      <c r="I15" s="55"/>
      <c r="J15" s="7"/>
      <c r="K15" s="7"/>
      <c r="L15" s="7"/>
      <c r="M15" s="7"/>
      <c r="N15" s="7"/>
      <c r="O15" s="7"/>
      <c r="P15" s="7"/>
      <c r="Q15" s="7"/>
      <c r="R15" s="7"/>
      <c r="S15" s="7"/>
      <c r="T15" s="7"/>
      <c r="U15" s="7"/>
      <c r="V15" s="7"/>
      <c r="W15" s="7"/>
      <c r="X15" s="7"/>
      <c r="Y15" s="7"/>
      <c r="Z15" s="7"/>
    </row>
    <row r="16" ht="14.25" customHeight="1">
      <c r="A16" s="7">
        <f>COUNTIF('Matrix - Part 4'!I5:I44,"=4")</f>
        <v>0</v>
      </c>
      <c r="B16" s="7">
        <f>COUNTIF('Matrix - Part 4'!I5:I45,"=3")</f>
        <v>0</v>
      </c>
      <c r="C16" s="7">
        <f>COUNTIF('Matrix - Part 4'!I5:I45,"=2")</f>
        <v>0</v>
      </c>
      <c r="D16" s="7">
        <f>COUNTIF('Matrix - Part 4'!I5:I44,"=1")</f>
        <v>0</v>
      </c>
      <c r="E16" s="7"/>
      <c r="F16" s="7"/>
      <c r="G16" s="7"/>
      <c r="H16" s="7"/>
      <c r="I16" s="55"/>
      <c r="J16" s="7"/>
      <c r="K16" s="7"/>
      <c r="L16" s="7"/>
      <c r="M16" s="7"/>
      <c r="N16" s="7"/>
      <c r="O16" s="7"/>
      <c r="P16" s="7"/>
      <c r="Q16" s="7"/>
      <c r="R16" s="7"/>
      <c r="S16" s="7"/>
      <c r="T16" s="7"/>
      <c r="U16" s="7"/>
      <c r="V16" s="7"/>
      <c r="W16" s="7"/>
      <c r="X16" s="7"/>
      <c r="Y16" s="7"/>
      <c r="Z16" s="7"/>
    </row>
    <row r="17" ht="14.25" customHeight="1">
      <c r="A17" s="80">
        <f>COUNTIF('Matrix - Part 5'!I5:I38,"=4")</f>
        <v>0</v>
      </c>
      <c r="B17" s="80">
        <f>COUNTIF('Matrix - Part 5'!I5:I38,"=3")</f>
        <v>0</v>
      </c>
      <c r="C17" s="7">
        <f>COUNTIF('Matrix - Part 5'!I5:I38,"=2")</f>
        <v>0</v>
      </c>
      <c r="D17" s="7">
        <f>COUNTIF('Matrix - Part 5'!I5:I38,"=1")</f>
        <v>0</v>
      </c>
      <c r="E17" s="7"/>
      <c r="F17" s="7"/>
      <c r="G17" s="111"/>
      <c r="H17" s="7"/>
      <c r="I17" s="55"/>
      <c r="J17" s="7"/>
      <c r="K17" s="7"/>
      <c r="L17" s="7"/>
      <c r="M17" s="7"/>
      <c r="N17" s="7"/>
      <c r="O17" s="7"/>
      <c r="P17" s="7"/>
      <c r="Q17" s="7"/>
      <c r="R17" s="7"/>
      <c r="S17" s="7"/>
      <c r="T17" s="7"/>
      <c r="U17" s="7"/>
      <c r="V17" s="7"/>
      <c r="W17" s="7"/>
      <c r="X17" s="7"/>
      <c r="Y17" s="7"/>
      <c r="Z17" s="7"/>
    </row>
    <row r="18" ht="14.25" customHeight="1">
      <c r="A18" s="80">
        <f>COUNTIF('Matrix - Part 6'!I5:I15,"=4")</f>
        <v>0</v>
      </c>
      <c r="B18" s="80">
        <f>COUNTIF('Matrix - Part 6'!I5:I15,"=3")</f>
        <v>0</v>
      </c>
      <c r="C18" s="7">
        <f>COUNTIF('Matrix - Part 6'!I5:I16,"=2")</f>
        <v>0</v>
      </c>
      <c r="D18" s="7">
        <f>COUNTIF('Matrix - Part 6'!I5:I15,"=1")</f>
        <v>0</v>
      </c>
      <c r="E18" s="7"/>
      <c r="F18" s="7"/>
      <c r="G18" s="111"/>
      <c r="H18" s="7"/>
      <c r="I18" s="55"/>
      <c r="J18" s="7"/>
      <c r="K18" s="7"/>
      <c r="L18" s="7"/>
      <c r="M18" s="7"/>
      <c r="N18" s="7"/>
      <c r="O18" s="7"/>
      <c r="P18" s="7"/>
      <c r="Q18" s="7"/>
      <c r="R18" s="7"/>
      <c r="S18" s="7"/>
      <c r="T18" s="7"/>
      <c r="U18" s="7"/>
      <c r="V18" s="7"/>
      <c r="W18" s="7"/>
      <c r="X18" s="7"/>
      <c r="Y18" s="7"/>
      <c r="Z18" s="7"/>
    </row>
    <row r="19" ht="14.25" customHeight="1">
      <c r="A19" s="112">
        <f t="shared" ref="A19:C19" si="1">SUM(A14,A15,A16,A17,A18)</f>
        <v>0</v>
      </c>
      <c r="B19" s="112">
        <f t="shared" si="1"/>
        <v>0</v>
      </c>
      <c r="C19" s="113">
        <f t="shared" si="1"/>
        <v>0</v>
      </c>
      <c r="D19" s="113">
        <f>SUM(D14,D16,D15,D17,D18)</f>
        <v>0</v>
      </c>
      <c r="E19" s="113">
        <f>SUM(A19,B19,C19)</f>
        <v>0</v>
      </c>
      <c r="F19" s="7"/>
      <c r="G19" s="55"/>
      <c r="H19" s="7"/>
      <c r="I19" s="55"/>
      <c r="J19" s="7"/>
      <c r="K19" s="7"/>
      <c r="L19" s="7"/>
      <c r="M19" s="7"/>
      <c r="N19" s="7"/>
      <c r="O19" s="7"/>
      <c r="P19" s="7"/>
      <c r="Q19" s="7"/>
      <c r="R19" s="7"/>
      <c r="S19" s="7"/>
      <c r="T19" s="7"/>
      <c r="U19" s="7"/>
      <c r="V19" s="7"/>
      <c r="W19" s="7"/>
      <c r="X19" s="7"/>
      <c r="Y19" s="7"/>
      <c r="Z19" s="7"/>
    </row>
    <row r="20" ht="14.25" customHeight="1">
      <c r="A20" s="80"/>
      <c r="B20" s="80"/>
      <c r="C20" s="7"/>
      <c r="D20" s="7"/>
      <c r="E20" s="7"/>
      <c r="F20" s="7"/>
      <c r="G20" s="111"/>
      <c r="H20" s="7"/>
      <c r="I20" s="55"/>
      <c r="J20" s="7"/>
      <c r="K20" s="7"/>
      <c r="L20" s="7"/>
      <c r="M20" s="7"/>
      <c r="N20" s="7"/>
      <c r="O20" s="7"/>
      <c r="P20" s="7"/>
      <c r="Q20" s="7"/>
      <c r="R20" s="7"/>
      <c r="S20" s="7"/>
      <c r="T20" s="7"/>
      <c r="U20" s="7"/>
      <c r="V20" s="7"/>
      <c r="W20" s="7"/>
      <c r="X20" s="7"/>
      <c r="Y20" s="7"/>
      <c r="Z20" s="7"/>
    </row>
    <row r="21" ht="14.25" customHeight="1">
      <c r="A21" s="7"/>
      <c r="B21" s="7"/>
      <c r="C21" s="7"/>
      <c r="D21" s="7"/>
      <c r="E21" s="7"/>
      <c r="F21" s="7"/>
      <c r="G21" s="7"/>
      <c r="H21" s="7"/>
      <c r="I21" s="55"/>
      <c r="J21" s="7"/>
      <c r="K21" s="7"/>
      <c r="L21" s="7"/>
      <c r="M21" s="7"/>
      <c r="N21" s="7"/>
      <c r="O21" s="7"/>
      <c r="P21" s="7"/>
      <c r="Q21" s="7"/>
      <c r="R21" s="7"/>
      <c r="S21" s="7"/>
      <c r="T21" s="7"/>
      <c r="U21" s="7"/>
      <c r="V21" s="7"/>
      <c r="W21" s="7"/>
      <c r="X21" s="7"/>
      <c r="Y21" s="7"/>
      <c r="Z21" s="7"/>
    </row>
    <row r="22" ht="14.25" customHeight="1">
      <c r="A22" s="114">
        <f>SUM('Matrix - Part 2'!I28,'Matrix - Part 3'!I26,'Matrix - Part 4'!I57,'Matrix - Part 5'!I48)/4</f>
        <v>0</v>
      </c>
      <c r="B22" s="80"/>
      <c r="C22" s="7"/>
      <c r="D22" s="7"/>
      <c r="E22" s="7"/>
      <c r="F22" s="7"/>
      <c r="G22" s="111"/>
      <c r="H22" s="7" t="s">
        <v>117</v>
      </c>
      <c r="I22" s="55"/>
      <c r="J22" s="7"/>
      <c r="K22" s="7"/>
      <c r="L22" s="7"/>
      <c r="M22" s="7"/>
      <c r="N22" s="7"/>
      <c r="O22" s="7"/>
      <c r="P22" s="7"/>
      <c r="Q22" s="7"/>
      <c r="R22" s="7"/>
      <c r="S22" s="7"/>
      <c r="T22" s="7"/>
      <c r="U22" s="7"/>
      <c r="V22" s="7"/>
      <c r="W22" s="7"/>
      <c r="X22" s="7"/>
      <c r="Y22" s="7"/>
      <c r="Z22" s="7"/>
    </row>
    <row r="23" ht="14.25" customHeight="1">
      <c r="A23" s="80"/>
      <c r="B23" s="80"/>
      <c r="C23" s="7"/>
      <c r="D23" s="7"/>
      <c r="E23" s="7"/>
      <c r="F23" s="7"/>
      <c r="G23" s="55"/>
      <c r="H23" s="7"/>
      <c r="I23" s="55"/>
      <c r="J23" s="7"/>
      <c r="K23" s="7"/>
      <c r="L23" s="7"/>
      <c r="M23" s="7"/>
      <c r="N23" s="7"/>
      <c r="O23" s="7"/>
      <c r="P23" s="7"/>
      <c r="Q23" s="7"/>
      <c r="R23" s="7"/>
      <c r="S23" s="7"/>
      <c r="T23" s="7"/>
      <c r="U23" s="7"/>
      <c r="V23" s="7"/>
      <c r="W23" s="7"/>
      <c r="X23" s="7"/>
      <c r="Y23" s="7"/>
      <c r="Z23" s="7"/>
    </row>
    <row r="24" ht="14.25" customHeight="1">
      <c r="A24" s="80"/>
      <c r="B24" s="80"/>
      <c r="C24" s="7"/>
      <c r="D24" s="7"/>
      <c r="E24" s="7"/>
      <c r="F24" s="7"/>
      <c r="G24" s="111"/>
      <c r="H24" s="7"/>
      <c r="I24" s="55"/>
      <c r="J24" s="7"/>
      <c r="K24" s="7"/>
      <c r="L24" s="7"/>
      <c r="M24" s="7"/>
      <c r="N24" s="7"/>
      <c r="O24" s="7"/>
      <c r="P24" s="7"/>
      <c r="Q24" s="7"/>
      <c r="R24" s="7"/>
      <c r="S24" s="7"/>
      <c r="T24" s="7"/>
      <c r="U24" s="7"/>
      <c r="V24" s="7"/>
      <c r="W24" s="7"/>
      <c r="X24" s="7"/>
      <c r="Y24" s="7"/>
      <c r="Z24" s="7"/>
    </row>
    <row r="25" ht="14.25" customHeight="1">
      <c r="A25" s="7"/>
      <c r="B25" s="7"/>
      <c r="C25" s="7"/>
      <c r="D25" s="7"/>
      <c r="E25" s="7"/>
      <c r="F25" s="7"/>
      <c r="G25" s="7"/>
      <c r="H25" s="7"/>
      <c r="I25" s="55"/>
      <c r="J25" s="7"/>
      <c r="K25" s="7"/>
      <c r="L25" s="7"/>
      <c r="M25" s="7"/>
      <c r="N25" s="7"/>
      <c r="O25" s="7"/>
      <c r="P25" s="7"/>
      <c r="Q25" s="7"/>
      <c r="R25" s="7"/>
      <c r="S25" s="7"/>
      <c r="T25" s="7"/>
      <c r="U25" s="7"/>
      <c r="V25" s="7"/>
      <c r="W25" s="7"/>
      <c r="X25" s="7"/>
      <c r="Y25" s="7"/>
      <c r="Z25" s="7"/>
    </row>
    <row r="26" ht="14.25" customHeight="1">
      <c r="A26" s="7"/>
      <c r="B26" s="7"/>
      <c r="C26" s="7"/>
      <c r="D26" s="7"/>
      <c r="E26" s="7"/>
      <c r="F26" s="7"/>
      <c r="G26" s="7"/>
      <c r="H26" s="7"/>
      <c r="I26" s="55"/>
      <c r="J26" s="7"/>
      <c r="K26" s="7"/>
      <c r="L26" s="7"/>
      <c r="M26" s="7"/>
      <c r="N26" s="7"/>
      <c r="O26" s="7"/>
      <c r="P26" s="7"/>
      <c r="Q26" s="7"/>
      <c r="R26" s="7"/>
      <c r="S26" s="7"/>
      <c r="T26" s="7"/>
      <c r="U26" s="7"/>
      <c r="V26" s="7"/>
      <c r="W26" s="7"/>
      <c r="X26" s="7"/>
      <c r="Y26" s="7"/>
      <c r="Z26" s="7"/>
    </row>
    <row r="27" ht="14.25" customHeight="1">
      <c r="A27" s="7"/>
      <c r="B27" s="7"/>
      <c r="C27" s="7"/>
      <c r="D27" s="7"/>
      <c r="E27" s="7"/>
      <c r="F27" s="7"/>
      <c r="G27" s="7"/>
      <c r="H27" s="7"/>
      <c r="I27" s="55"/>
      <c r="J27" s="7"/>
      <c r="K27" s="7"/>
      <c r="L27" s="7"/>
      <c r="M27" s="7"/>
      <c r="N27" s="7"/>
      <c r="O27" s="7"/>
      <c r="P27" s="7"/>
      <c r="Q27" s="7"/>
      <c r="R27" s="7"/>
      <c r="S27" s="7"/>
      <c r="T27" s="7"/>
      <c r="U27" s="7"/>
      <c r="V27" s="7"/>
      <c r="W27" s="7"/>
      <c r="X27" s="7"/>
      <c r="Y27" s="7"/>
      <c r="Z27" s="7"/>
    </row>
    <row r="28" ht="14.25" customHeight="1">
      <c r="A28" s="81"/>
      <c r="B28" s="81"/>
      <c r="C28" s="7"/>
      <c r="D28" s="7"/>
      <c r="E28" s="7"/>
      <c r="F28" s="7"/>
      <c r="G28" s="111"/>
      <c r="H28" s="7"/>
      <c r="I28" s="55"/>
      <c r="J28" s="7"/>
      <c r="K28" s="7"/>
      <c r="L28" s="7"/>
      <c r="M28" s="7"/>
      <c r="N28" s="7"/>
      <c r="O28" s="7"/>
      <c r="P28" s="7"/>
      <c r="Q28" s="7"/>
      <c r="R28" s="7"/>
      <c r="S28" s="7"/>
      <c r="T28" s="7"/>
      <c r="U28" s="7"/>
      <c r="V28" s="7"/>
      <c r="W28" s="7"/>
      <c r="X28" s="7"/>
      <c r="Y28" s="7"/>
      <c r="Z28" s="7"/>
    </row>
    <row r="29" ht="14.25" customHeight="1">
      <c r="A29" s="81"/>
      <c r="B29" s="81"/>
      <c r="C29" s="7"/>
      <c r="D29" s="7"/>
      <c r="E29" s="7"/>
      <c r="F29" s="7"/>
      <c r="G29" s="55"/>
      <c r="H29" s="7"/>
      <c r="I29" s="55"/>
      <c r="J29" s="7"/>
      <c r="K29" s="7"/>
      <c r="L29" s="7"/>
      <c r="M29" s="7"/>
      <c r="N29" s="7"/>
      <c r="O29" s="7"/>
      <c r="P29" s="7"/>
      <c r="Q29" s="7"/>
      <c r="R29" s="7"/>
      <c r="S29" s="7"/>
      <c r="T29" s="7"/>
      <c r="U29" s="7"/>
      <c r="V29" s="7"/>
      <c r="W29" s="7"/>
      <c r="X29" s="7"/>
      <c r="Y29" s="7"/>
      <c r="Z29" s="7"/>
    </row>
    <row r="30" ht="14.25" customHeight="1">
      <c r="A30" s="81"/>
      <c r="B30" s="81"/>
      <c r="C30" s="7"/>
      <c r="D30" s="7"/>
      <c r="E30" s="7"/>
      <c r="F30" s="7"/>
      <c r="G30" s="111"/>
      <c r="H30" s="7"/>
      <c r="I30" s="55"/>
      <c r="J30" s="7"/>
      <c r="K30" s="7"/>
      <c r="L30" s="7"/>
      <c r="M30" s="7"/>
      <c r="N30" s="7"/>
      <c r="O30" s="7"/>
      <c r="P30" s="7"/>
      <c r="Q30" s="7"/>
      <c r="R30" s="7"/>
      <c r="S30" s="7"/>
      <c r="T30" s="7"/>
      <c r="U30" s="7"/>
      <c r="V30" s="7"/>
      <c r="W30" s="7"/>
      <c r="X30" s="7"/>
      <c r="Y30" s="7"/>
      <c r="Z30" s="7"/>
    </row>
    <row r="31" ht="14.25" customHeight="1">
      <c r="A31" s="7"/>
      <c r="B31" s="7"/>
      <c r="C31" s="7"/>
      <c r="D31" s="7"/>
      <c r="E31" s="7"/>
      <c r="F31" s="7"/>
      <c r="G31" s="7"/>
      <c r="H31" s="7"/>
      <c r="I31" s="7"/>
      <c r="J31" s="7"/>
      <c r="K31" s="7"/>
      <c r="L31" s="7"/>
      <c r="M31" s="7"/>
      <c r="N31" s="7"/>
      <c r="O31" s="7"/>
      <c r="P31" s="7"/>
      <c r="Q31" s="7"/>
      <c r="R31" s="7"/>
      <c r="S31" s="7"/>
      <c r="T31" s="7"/>
      <c r="U31" s="7"/>
      <c r="V31" s="7"/>
      <c r="W31" s="7"/>
      <c r="X31" s="7"/>
      <c r="Y31" s="7"/>
      <c r="Z31" s="7"/>
    </row>
    <row r="32" ht="14.25" customHeight="1">
      <c r="A32" s="7"/>
      <c r="B32" s="7"/>
      <c r="C32" s="7"/>
      <c r="D32" s="7"/>
      <c r="E32" s="7"/>
      <c r="F32" s="7"/>
      <c r="G32" s="7"/>
      <c r="H32" s="7"/>
      <c r="I32" s="55"/>
      <c r="J32" s="7"/>
      <c r="K32" s="7"/>
      <c r="L32" s="7"/>
      <c r="M32" s="7"/>
      <c r="N32" s="7"/>
      <c r="O32" s="7"/>
      <c r="P32" s="7"/>
      <c r="Q32" s="7"/>
      <c r="R32" s="7"/>
      <c r="S32" s="7"/>
      <c r="T32" s="7"/>
      <c r="U32" s="7"/>
      <c r="V32" s="7"/>
      <c r="W32" s="7"/>
      <c r="X32" s="7"/>
      <c r="Y32" s="7"/>
      <c r="Z32" s="7"/>
    </row>
    <row r="33" ht="14.25" customHeight="1">
      <c r="A33" s="7"/>
      <c r="B33" s="7"/>
      <c r="C33" s="7"/>
      <c r="D33" s="7"/>
      <c r="E33" s="7"/>
      <c r="F33" s="7"/>
      <c r="G33" s="7"/>
      <c r="H33" s="7"/>
      <c r="I33" s="55"/>
      <c r="J33" s="7"/>
      <c r="K33" s="7"/>
      <c r="L33" s="7"/>
      <c r="M33" s="7"/>
      <c r="N33" s="7"/>
      <c r="O33" s="7"/>
      <c r="P33" s="7"/>
      <c r="Q33" s="7"/>
      <c r="R33" s="7"/>
      <c r="S33" s="7"/>
      <c r="T33" s="7"/>
      <c r="U33" s="7"/>
      <c r="V33" s="7"/>
      <c r="W33" s="7"/>
      <c r="X33" s="7"/>
      <c r="Y33" s="7"/>
      <c r="Z33" s="7"/>
    </row>
    <row r="34" ht="14.25" customHeight="1">
      <c r="A34" s="7"/>
      <c r="B34" s="7"/>
      <c r="C34" s="7"/>
      <c r="D34" s="7"/>
      <c r="E34" s="7"/>
      <c r="F34" s="7"/>
      <c r="G34" s="7"/>
      <c r="H34" s="7"/>
      <c r="I34" s="55"/>
      <c r="J34" s="7"/>
      <c r="K34" s="7"/>
      <c r="L34" s="7"/>
      <c r="M34" s="7"/>
      <c r="N34" s="7"/>
      <c r="O34" s="7"/>
      <c r="P34" s="7"/>
      <c r="Q34" s="7"/>
      <c r="R34" s="7"/>
      <c r="S34" s="7"/>
      <c r="T34" s="7"/>
      <c r="U34" s="7"/>
      <c r="V34" s="7"/>
      <c r="W34" s="7"/>
      <c r="X34" s="7"/>
      <c r="Y34" s="7"/>
      <c r="Z34" s="7"/>
    </row>
    <row r="35" ht="14.25" customHeight="1">
      <c r="A35" s="7"/>
      <c r="B35" s="7"/>
      <c r="C35" s="7"/>
      <c r="D35" s="7"/>
      <c r="E35" s="7"/>
      <c r="F35" s="7"/>
      <c r="G35" s="7"/>
      <c r="H35" s="7"/>
      <c r="I35" s="7"/>
      <c r="J35" s="7"/>
      <c r="K35" s="7"/>
      <c r="L35" s="7"/>
      <c r="M35" s="7"/>
      <c r="N35" s="7"/>
      <c r="O35" s="7"/>
      <c r="P35" s="7"/>
      <c r="Q35" s="7"/>
      <c r="R35" s="7"/>
      <c r="S35" s="7"/>
      <c r="T35" s="7"/>
      <c r="U35" s="7"/>
      <c r="V35" s="7"/>
      <c r="W35" s="7"/>
      <c r="X35" s="7"/>
      <c r="Y35" s="7"/>
      <c r="Z35" s="7"/>
    </row>
    <row r="36" ht="14.25" customHeight="1">
      <c r="A36" s="113"/>
      <c r="B36" s="113"/>
      <c r="C36" s="113"/>
      <c r="D36" s="113"/>
      <c r="E36" s="113"/>
      <c r="F36" s="113"/>
      <c r="G36" s="113"/>
      <c r="H36" s="7"/>
      <c r="I36" s="113"/>
      <c r="J36" s="113"/>
      <c r="K36" s="7"/>
      <c r="L36" s="7"/>
      <c r="M36" s="7"/>
      <c r="N36" s="7"/>
      <c r="O36" s="7"/>
      <c r="P36" s="7"/>
      <c r="Q36" s="7"/>
      <c r="R36" s="7"/>
      <c r="S36" s="7"/>
      <c r="T36" s="7"/>
      <c r="U36" s="7"/>
      <c r="V36" s="7"/>
      <c r="W36" s="7"/>
      <c r="X36" s="7"/>
      <c r="Y36" s="7"/>
      <c r="Z36" s="7"/>
    </row>
    <row r="37" ht="14.25" customHeight="1">
      <c r="A37" s="7"/>
      <c r="B37" s="7"/>
      <c r="C37" s="7"/>
      <c r="D37" s="7"/>
      <c r="E37" s="7"/>
      <c r="F37" s="7"/>
      <c r="G37" s="7"/>
      <c r="H37" s="7"/>
      <c r="I37" s="7"/>
      <c r="J37" s="7"/>
      <c r="K37" s="7"/>
      <c r="L37" s="7"/>
      <c r="M37" s="7"/>
      <c r="N37" s="7"/>
      <c r="O37" s="7"/>
      <c r="P37" s="7"/>
      <c r="Q37" s="7"/>
      <c r="R37" s="7"/>
      <c r="S37" s="7"/>
      <c r="T37" s="7"/>
      <c r="U37" s="7"/>
      <c r="V37" s="7"/>
      <c r="W37" s="7"/>
      <c r="X37" s="7"/>
      <c r="Y37" s="7"/>
      <c r="Z37" s="7"/>
    </row>
    <row r="38" ht="14.25" customHeight="1">
      <c r="A38" s="111"/>
      <c r="B38" s="7"/>
      <c r="C38" s="7"/>
      <c r="D38" s="7"/>
      <c r="E38" s="7"/>
      <c r="F38" s="7"/>
      <c r="G38" s="7"/>
      <c r="H38" s="7"/>
      <c r="I38" s="7"/>
      <c r="J38" s="7"/>
      <c r="K38" s="7"/>
      <c r="L38" s="7"/>
      <c r="M38" s="7"/>
      <c r="N38" s="7"/>
      <c r="O38" s="7"/>
      <c r="P38" s="7"/>
      <c r="Q38" s="7"/>
      <c r="R38" s="7"/>
      <c r="S38" s="7"/>
      <c r="T38" s="7"/>
      <c r="U38" s="7"/>
      <c r="V38" s="7"/>
      <c r="W38" s="7"/>
      <c r="X38" s="7"/>
      <c r="Y38" s="7"/>
      <c r="Z38" s="7"/>
    </row>
    <row r="39" ht="14.25" customHeight="1">
      <c r="A39" s="55"/>
      <c r="B39" s="7"/>
      <c r="C39" s="7"/>
      <c r="D39" s="7"/>
      <c r="E39" s="7"/>
      <c r="F39" s="7"/>
      <c r="G39" s="7"/>
      <c r="H39" s="7"/>
      <c r="I39" s="7"/>
      <c r="J39" s="7"/>
      <c r="K39" s="7"/>
      <c r="L39" s="7"/>
      <c r="M39" s="7"/>
      <c r="N39" s="7"/>
      <c r="O39" s="7"/>
      <c r="P39" s="7"/>
      <c r="Q39" s="7"/>
      <c r="R39" s="7"/>
      <c r="S39" s="7"/>
      <c r="T39" s="7"/>
      <c r="U39" s="7"/>
      <c r="V39" s="7"/>
      <c r="W39" s="7"/>
      <c r="X39" s="7"/>
      <c r="Y39" s="7"/>
      <c r="Z39" s="7"/>
    </row>
    <row r="40" ht="14.25" customHeight="1">
      <c r="A40" s="55"/>
      <c r="B40" s="7"/>
      <c r="C40" s="7"/>
      <c r="D40" s="7"/>
      <c r="E40" s="7"/>
      <c r="F40" s="7"/>
      <c r="G40" s="7"/>
      <c r="H40" s="7"/>
      <c r="I40" s="7"/>
      <c r="J40" s="7"/>
      <c r="K40" s="7"/>
      <c r="L40" s="7"/>
      <c r="M40" s="7"/>
      <c r="N40" s="7"/>
      <c r="O40" s="7"/>
      <c r="P40" s="7"/>
      <c r="Q40" s="7"/>
      <c r="R40" s="7"/>
      <c r="S40" s="7"/>
      <c r="T40" s="7"/>
      <c r="U40" s="7"/>
      <c r="V40" s="7"/>
      <c r="W40" s="7"/>
      <c r="X40" s="7"/>
      <c r="Y40" s="7"/>
      <c r="Z40" s="7"/>
    </row>
    <row r="41" ht="14.25" customHeight="1">
      <c r="A41" s="55"/>
      <c r="B41" s="7"/>
      <c r="C41" s="7"/>
      <c r="D41" s="7"/>
      <c r="E41" s="7"/>
      <c r="F41" s="7"/>
      <c r="G41" s="7"/>
      <c r="H41" s="7"/>
      <c r="I41" s="7"/>
      <c r="J41" s="7"/>
      <c r="K41" s="7"/>
      <c r="L41" s="7"/>
      <c r="M41" s="7"/>
      <c r="N41" s="7"/>
      <c r="O41" s="7"/>
      <c r="P41" s="7"/>
      <c r="Q41" s="7"/>
      <c r="R41" s="7"/>
      <c r="S41" s="7"/>
      <c r="T41" s="7"/>
      <c r="U41" s="7"/>
      <c r="V41" s="7"/>
      <c r="W41" s="7"/>
      <c r="X41" s="7"/>
      <c r="Y41" s="7"/>
      <c r="Z41" s="7"/>
    </row>
    <row r="42" ht="14.25" customHeight="1">
      <c r="A42" s="55"/>
      <c r="B42" s="7"/>
      <c r="C42" s="7"/>
      <c r="D42" s="7"/>
      <c r="E42" s="7"/>
      <c r="F42" s="7"/>
      <c r="G42" s="7"/>
      <c r="H42" s="7"/>
      <c r="I42" s="7"/>
      <c r="J42" s="7"/>
      <c r="K42" s="7"/>
      <c r="L42" s="7"/>
      <c r="M42" s="7"/>
      <c r="N42" s="7"/>
      <c r="O42" s="7"/>
      <c r="P42" s="7"/>
      <c r="Q42" s="7"/>
      <c r="R42" s="7"/>
      <c r="S42" s="7"/>
      <c r="T42" s="7"/>
      <c r="U42" s="7"/>
      <c r="V42" s="7"/>
      <c r="W42" s="7"/>
      <c r="X42" s="7"/>
      <c r="Y42" s="7"/>
      <c r="Z42" s="7"/>
    </row>
    <row r="43" ht="14.25" customHeight="1">
      <c r="A43" s="55"/>
      <c r="B43" s="7"/>
      <c r="C43" s="7"/>
      <c r="D43" s="7"/>
      <c r="E43" s="7"/>
      <c r="F43" s="7"/>
      <c r="G43" s="7"/>
      <c r="H43" s="7"/>
      <c r="I43" s="7"/>
      <c r="J43" s="7"/>
      <c r="K43" s="7"/>
      <c r="L43" s="7"/>
      <c r="M43" s="7"/>
      <c r="N43" s="7"/>
      <c r="O43" s="7"/>
      <c r="P43" s="7"/>
      <c r="Q43" s="7"/>
      <c r="R43" s="7"/>
      <c r="S43" s="7"/>
      <c r="T43" s="7"/>
      <c r="U43" s="7"/>
      <c r="V43" s="7"/>
      <c r="W43" s="7"/>
      <c r="X43" s="7"/>
      <c r="Y43" s="7"/>
      <c r="Z43" s="7"/>
    </row>
    <row r="44" ht="14.25" customHeight="1">
      <c r="A44" s="55"/>
      <c r="B44" s="7"/>
      <c r="C44" s="7"/>
      <c r="D44" s="7"/>
      <c r="E44" s="7"/>
      <c r="F44" s="7"/>
      <c r="G44" s="7"/>
      <c r="H44" s="7"/>
      <c r="I44" s="7"/>
      <c r="J44" s="7"/>
      <c r="K44" s="7"/>
      <c r="L44" s="7"/>
      <c r="M44" s="7"/>
      <c r="N44" s="7"/>
      <c r="O44" s="7"/>
      <c r="P44" s="7"/>
      <c r="Q44" s="7"/>
      <c r="R44" s="7"/>
      <c r="S44" s="7"/>
      <c r="T44" s="7"/>
      <c r="U44" s="7"/>
      <c r="V44" s="7"/>
      <c r="W44" s="7"/>
      <c r="X44" s="7"/>
      <c r="Y44" s="7"/>
      <c r="Z44" s="7"/>
    </row>
    <row r="45" ht="14.25" customHeight="1">
      <c r="A45" s="55"/>
      <c r="B45" s="7"/>
      <c r="C45" s="7"/>
      <c r="D45" s="7"/>
      <c r="E45" s="7"/>
      <c r="F45" s="7"/>
      <c r="G45" s="7"/>
      <c r="H45" s="7"/>
      <c r="I45" s="7"/>
      <c r="J45" s="7"/>
      <c r="K45" s="7"/>
      <c r="L45" s="7"/>
      <c r="M45" s="7"/>
      <c r="N45" s="7"/>
      <c r="O45" s="7"/>
      <c r="P45" s="7"/>
      <c r="Q45" s="7"/>
      <c r="R45" s="7"/>
      <c r="S45" s="7"/>
      <c r="T45" s="7"/>
      <c r="U45" s="7"/>
      <c r="V45" s="7"/>
      <c r="W45" s="7"/>
      <c r="X45" s="7"/>
      <c r="Y45" s="7"/>
      <c r="Z45" s="7"/>
    </row>
    <row r="46" ht="14.25" customHeight="1">
      <c r="A46" s="55"/>
      <c r="B46" s="7"/>
      <c r="C46" s="7"/>
      <c r="D46" s="7"/>
      <c r="E46" s="7"/>
      <c r="F46" s="7"/>
      <c r="G46" s="7"/>
      <c r="H46" s="7"/>
      <c r="I46" s="7"/>
      <c r="J46" s="7"/>
      <c r="K46" s="7"/>
      <c r="L46" s="7"/>
      <c r="M46" s="7"/>
      <c r="N46" s="7"/>
      <c r="O46" s="7"/>
      <c r="P46" s="7"/>
      <c r="Q46" s="7"/>
      <c r="R46" s="7"/>
      <c r="S46" s="7"/>
      <c r="T46" s="7"/>
      <c r="U46" s="7"/>
      <c r="V46" s="7"/>
      <c r="W46" s="7"/>
      <c r="X46" s="7"/>
      <c r="Y46" s="7"/>
      <c r="Z46" s="7"/>
    </row>
    <row r="47" ht="14.25" customHeight="1">
      <c r="A47" s="55"/>
      <c r="B47" s="7"/>
      <c r="C47" s="7"/>
      <c r="D47" s="7"/>
      <c r="E47" s="7"/>
      <c r="F47" s="7"/>
      <c r="G47" s="7"/>
      <c r="H47" s="7"/>
      <c r="I47" s="7"/>
      <c r="J47" s="7"/>
      <c r="K47" s="7"/>
      <c r="L47" s="7"/>
      <c r="M47" s="7"/>
      <c r="N47" s="7"/>
      <c r="O47" s="7"/>
      <c r="P47" s="7"/>
      <c r="Q47" s="7"/>
      <c r="R47" s="7"/>
      <c r="S47" s="7"/>
      <c r="T47" s="7"/>
      <c r="U47" s="7"/>
      <c r="V47" s="7"/>
      <c r="W47" s="7"/>
      <c r="X47" s="7"/>
      <c r="Y47" s="7"/>
      <c r="Z47" s="7"/>
    </row>
    <row r="48" ht="14.25" customHeight="1">
      <c r="A48" s="55"/>
      <c r="B48" s="7"/>
      <c r="C48" s="7"/>
      <c r="D48" s="7"/>
      <c r="E48" s="7"/>
      <c r="F48" s="7"/>
      <c r="G48" s="7"/>
      <c r="H48" s="7"/>
      <c r="I48" s="7"/>
      <c r="J48" s="7"/>
      <c r="K48" s="7"/>
      <c r="L48" s="7"/>
      <c r="M48" s="7"/>
      <c r="N48" s="7"/>
      <c r="O48" s="7"/>
      <c r="P48" s="7"/>
      <c r="Q48" s="7"/>
      <c r="R48" s="7"/>
      <c r="S48" s="7"/>
      <c r="T48" s="7"/>
      <c r="U48" s="7"/>
      <c r="V48" s="7"/>
      <c r="W48" s="7"/>
      <c r="X48" s="7"/>
      <c r="Y48" s="7"/>
      <c r="Z48" s="7"/>
    </row>
    <row r="49" ht="14.25" customHeight="1">
      <c r="A49" s="55"/>
      <c r="B49" s="7"/>
      <c r="C49" s="7"/>
      <c r="D49" s="7"/>
      <c r="E49" s="7"/>
      <c r="F49" s="7"/>
      <c r="G49" s="7"/>
      <c r="H49" s="7"/>
      <c r="I49" s="7"/>
      <c r="J49" s="7"/>
      <c r="K49" s="7"/>
      <c r="L49" s="7"/>
      <c r="M49" s="7"/>
      <c r="N49" s="7"/>
      <c r="O49" s="7"/>
      <c r="P49" s="7"/>
      <c r="Q49" s="7"/>
      <c r="R49" s="7"/>
      <c r="S49" s="7"/>
      <c r="T49" s="7"/>
      <c r="U49" s="7"/>
      <c r="V49" s="7"/>
      <c r="W49" s="7"/>
      <c r="X49" s="7"/>
      <c r="Y49" s="7"/>
      <c r="Z49" s="7"/>
    </row>
    <row r="50" ht="14.25" customHeight="1">
      <c r="A50" s="55"/>
      <c r="B50" s="7"/>
      <c r="C50" s="7"/>
      <c r="D50" s="7"/>
      <c r="E50" s="7"/>
      <c r="F50" s="7"/>
      <c r="G50" s="7"/>
      <c r="H50" s="7"/>
      <c r="I50" s="7"/>
      <c r="J50" s="7"/>
      <c r="K50" s="7"/>
      <c r="L50" s="7"/>
      <c r="M50" s="7"/>
      <c r="N50" s="7"/>
      <c r="O50" s="7"/>
      <c r="P50" s="7"/>
      <c r="Q50" s="7"/>
      <c r="R50" s="7"/>
      <c r="S50" s="7"/>
      <c r="T50" s="7"/>
      <c r="U50" s="7"/>
      <c r="V50" s="7"/>
      <c r="W50" s="7"/>
      <c r="X50" s="7"/>
      <c r="Y50" s="7"/>
      <c r="Z50" s="7"/>
    </row>
    <row r="51" ht="14.25" customHeight="1">
      <c r="A51" s="55"/>
      <c r="B51" s="7"/>
      <c r="C51" s="7"/>
      <c r="D51" s="7"/>
      <c r="E51" s="7"/>
      <c r="F51" s="7"/>
      <c r="G51" s="7"/>
      <c r="H51" s="7"/>
      <c r="I51" s="7"/>
      <c r="J51" s="7"/>
      <c r="K51" s="7"/>
      <c r="L51" s="7"/>
      <c r="M51" s="7"/>
      <c r="N51" s="7"/>
      <c r="O51" s="7"/>
      <c r="P51" s="7"/>
      <c r="Q51" s="7"/>
      <c r="R51" s="7"/>
      <c r="S51" s="7"/>
      <c r="T51" s="7"/>
      <c r="U51" s="7"/>
      <c r="V51" s="7"/>
      <c r="W51" s="7"/>
      <c r="X51" s="7"/>
      <c r="Y51" s="7"/>
      <c r="Z51" s="7"/>
    </row>
    <row r="52" ht="14.25" customHeight="1">
      <c r="A52" s="55"/>
      <c r="B52" s="7"/>
      <c r="C52" s="7"/>
      <c r="D52" s="7"/>
      <c r="E52" s="7"/>
      <c r="F52" s="7"/>
      <c r="G52" s="7"/>
      <c r="H52" s="7"/>
      <c r="I52" s="7"/>
      <c r="J52" s="7"/>
      <c r="K52" s="7"/>
      <c r="L52" s="7"/>
      <c r="M52" s="7"/>
      <c r="N52" s="7"/>
      <c r="O52" s="7"/>
      <c r="P52" s="7"/>
      <c r="Q52" s="7"/>
      <c r="R52" s="7"/>
      <c r="S52" s="7"/>
      <c r="T52" s="7"/>
      <c r="U52" s="7"/>
      <c r="V52" s="7"/>
      <c r="W52" s="7"/>
      <c r="X52" s="7"/>
      <c r="Y52" s="7"/>
      <c r="Z52" s="7"/>
    </row>
    <row r="53" ht="14.25" customHeight="1">
      <c r="A53" s="55"/>
      <c r="B53" s="7"/>
      <c r="C53" s="7"/>
      <c r="D53" s="7"/>
      <c r="E53" s="7"/>
      <c r="F53" s="7"/>
      <c r="G53" s="7"/>
      <c r="H53" s="7"/>
      <c r="I53" s="7"/>
      <c r="J53" s="7"/>
      <c r="K53" s="7"/>
      <c r="L53" s="7"/>
      <c r="M53" s="7"/>
      <c r="N53" s="7"/>
      <c r="O53" s="7"/>
      <c r="P53" s="7"/>
      <c r="Q53" s="7"/>
      <c r="R53" s="7"/>
      <c r="S53" s="7"/>
      <c r="T53" s="7"/>
      <c r="U53" s="7"/>
      <c r="V53" s="7"/>
      <c r="W53" s="7"/>
      <c r="X53" s="7"/>
      <c r="Y53" s="7"/>
      <c r="Z53" s="7"/>
    </row>
    <row r="54" ht="14.25" customHeight="1">
      <c r="A54" s="55"/>
      <c r="B54" s="7"/>
      <c r="C54" s="7"/>
      <c r="D54" s="7"/>
      <c r="E54" s="7"/>
      <c r="F54" s="7"/>
      <c r="G54" s="7"/>
      <c r="H54" s="7"/>
      <c r="I54" s="7"/>
      <c r="J54" s="7"/>
      <c r="K54" s="7"/>
      <c r="L54" s="7"/>
      <c r="M54" s="7"/>
      <c r="N54" s="7"/>
      <c r="O54" s="7"/>
      <c r="P54" s="7"/>
      <c r="Q54" s="7"/>
      <c r="R54" s="7"/>
      <c r="S54" s="7"/>
      <c r="T54" s="7"/>
      <c r="U54" s="7"/>
      <c r="V54" s="7"/>
      <c r="W54" s="7"/>
      <c r="X54" s="7"/>
      <c r="Y54" s="7"/>
      <c r="Z54" s="7"/>
    </row>
    <row r="55" ht="14.25" customHeight="1">
      <c r="A55" s="55"/>
      <c r="B55" s="7"/>
      <c r="C55" s="7"/>
      <c r="D55" s="7"/>
      <c r="E55" s="7"/>
      <c r="F55" s="7"/>
      <c r="G55" s="7"/>
      <c r="H55" s="7"/>
      <c r="I55" s="7"/>
      <c r="J55" s="7"/>
      <c r="K55" s="7"/>
      <c r="L55" s="7"/>
      <c r="M55" s="7"/>
      <c r="N55" s="7"/>
      <c r="O55" s="7"/>
      <c r="P55" s="7"/>
      <c r="Q55" s="7"/>
      <c r="R55" s="7"/>
      <c r="S55" s="7"/>
      <c r="T55" s="7"/>
      <c r="U55" s="7"/>
      <c r="V55" s="7"/>
      <c r="W55" s="7"/>
      <c r="X55" s="7"/>
      <c r="Y55" s="7"/>
      <c r="Z55" s="7"/>
    </row>
    <row r="56" ht="14.25" customHeight="1">
      <c r="A56" s="55"/>
      <c r="B56" s="7"/>
      <c r="C56" s="7"/>
      <c r="D56" s="7"/>
      <c r="E56" s="7"/>
      <c r="F56" s="7"/>
      <c r="G56" s="7"/>
      <c r="H56" s="7"/>
      <c r="I56" s="7"/>
      <c r="J56" s="7"/>
      <c r="K56" s="7"/>
      <c r="L56" s="7"/>
      <c r="M56" s="7"/>
      <c r="N56" s="7"/>
      <c r="O56" s="7"/>
      <c r="P56" s="7"/>
      <c r="Q56" s="7"/>
      <c r="R56" s="7"/>
      <c r="S56" s="7"/>
      <c r="T56" s="7"/>
      <c r="U56" s="7"/>
      <c r="V56" s="7"/>
      <c r="W56" s="7"/>
      <c r="X56" s="7"/>
      <c r="Y56" s="7"/>
      <c r="Z56" s="7"/>
    </row>
    <row r="57" ht="14.25" customHeight="1">
      <c r="A57" s="55"/>
      <c r="B57" s="7"/>
      <c r="C57" s="7"/>
      <c r="D57" s="7"/>
      <c r="E57" s="7"/>
      <c r="F57" s="7"/>
      <c r="G57" s="7"/>
      <c r="H57" s="7"/>
      <c r="I57" s="7"/>
      <c r="J57" s="7"/>
      <c r="K57" s="7"/>
      <c r="L57" s="7"/>
      <c r="M57" s="7"/>
      <c r="N57" s="7"/>
      <c r="O57" s="7"/>
      <c r="P57" s="7"/>
      <c r="Q57" s="7"/>
      <c r="R57" s="7"/>
      <c r="S57" s="7"/>
      <c r="T57" s="7"/>
      <c r="U57" s="7"/>
      <c r="V57" s="7"/>
      <c r="W57" s="7"/>
      <c r="X57" s="7"/>
      <c r="Y57" s="7"/>
      <c r="Z57" s="7"/>
    </row>
    <row r="58" ht="14.25" customHeight="1">
      <c r="A58" s="55"/>
      <c r="B58" s="7"/>
      <c r="C58" s="7"/>
      <c r="D58" s="7"/>
      <c r="E58" s="7"/>
      <c r="F58" s="7"/>
      <c r="G58" s="7"/>
      <c r="H58" s="7"/>
      <c r="I58" s="7"/>
      <c r="J58" s="7"/>
      <c r="K58" s="7"/>
      <c r="L58" s="7"/>
      <c r="M58" s="7"/>
      <c r="N58" s="7"/>
      <c r="O58" s="7"/>
      <c r="P58" s="7"/>
      <c r="Q58" s="7"/>
      <c r="R58" s="7"/>
      <c r="S58" s="7"/>
      <c r="T58" s="7"/>
      <c r="U58" s="7"/>
      <c r="V58" s="7"/>
      <c r="W58" s="7"/>
      <c r="X58" s="7"/>
      <c r="Y58" s="7"/>
      <c r="Z58" s="7"/>
    </row>
    <row r="59" ht="14.25" customHeight="1">
      <c r="A59" s="55"/>
      <c r="B59" s="7"/>
      <c r="C59" s="7"/>
      <c r="D59" s="7"/>
      <c r="E59" s="7"/>
      <c r="F59" s="7"/>
      <c r="G59" s="7"/>
      <c r="H59" s="7"/>
      <c r="I59" s="7"/>
      <c r="J59" s="7"/>
      <c r="K59" s="7"/>
      <c r="L59" s="7"/>
      <c r="M59" s="7"/>
      <c r="N59" s="7"/>
      <c r="O59" s="7"/>
      <c r="P59" s="7"/>
      <c r="Q59" s="7"/>
      <c r="R59" s="7"/>
      <c r="S59" s="7"/>
      <c r="T59" s="7"/>
      <c r="U59" s="7"/>
      <c r="V59" s="7"/>
      <c r="W59" s="7"/>
      <c r="X59" s="7"/>
      <c r="Y59" s="7"/>
      <c r="Z59" s="7"/>
    </row>
    <row r="60" ht="14.25" customHeight="1">
      <c r="A60" s="55"/>
      <c r="B60" s="7"/>
      <c r="C60" s="7"/>
      <c r="D60" s="7"/>
      <c r="E60" s="7"/>
      <c r="F60" s="7"/>
      <c r="G60" s="7"/>
      <c r="H60" s="7"/>
      <c r="I60" s="7"/>
      <c r="J60" s="7"/>
      <c r="K60" s="7"/>
      <c r="L60" s="7"/>
      <c r="M60" s="7"/>
      <c r="N60" s="7"/>
      <c r="O60" s="7"/>
      <c r="P60" s="7"/>
      <c r="Q60" s="7"/>
      <c r="R60" s="7"/>
      <c r="S60" s="7"/>
      <c r="T60" s="7"/>
      <c r="U60" s="7"/>
      <c r="V60" s="7"/>
      <c r="W60" s="7"/>
      <c r="X60" s="7"/>
      <c r="Y60" s="7"/>
      <c r="Z60" s="7"/>
    </row>
    <row r="61" ht="14.25" customHeight="1">
      <c r="A61" s="55"/>
      <c r="B61" s="7"/>
      <c r="C61" s="7"/>
      <c r="D61" s="7"/>
      <c r="E61" s="7"/>
      <c r="F61" s="7"/>
      <c r="G61" s="7"/>
      <c r="H61" s="7"/>
      <c r="I61" s="7"/>
      <c r="J61" s="7"/>
      <c r="K61" s="7"/>
      <c r="L61" s="7"/>
      <c r="M61" s="7"/>
      <c r="N61" s="7"/>
      <c r="O61" s="7"/>
      <c r="P61" s="7"/>
      <c r="Q61" s="7"/>
      <c r="R61" s="7"/>
      <c r="S61" s="7"/>
      <c r="T61" s="7"/>
      <c r="U61" s="7"/>
      <c r="V61" s="7"/>
      <c r="W61" s="7"/>
      <c r="X61" s="7"/>
      <c r="Y61" s="7"/>
      <c r="Z61" s="7"/>
    </row>
    <row r="62" ht="14.25" customHeight="1">
      <c r="A62" s="55"/>
      <c r="B62" s="7"/>
      <c r="C62" s="7"/>
      <c r="D62" s="7"/>
      <c r="E62" s="7"/>
      <c r="F62" s="7"/>
      <c r="G62" s="7"/>
      <c r="H62" s="7"/>
      <c r="I62" s="7"/>
      <c r="J62" s="7"/>
      <c r="K62" s="7"/>
      <c r="L62" s="7"/>
      <c r="M62" s="7"/>
      <c r="N62" s="7"/>
      <c r="O62" s="7"/>
      <c r="P62" s="7"/>
      <c r="Q62" s="7"/>
      <c r="R62" s="7"/>
      <c r="S62" s="7"/>
      <c r="T62" s="7"/>
      <c r="U62" s="7"/>
      <c r="V62" s="7"/>
      <c r="W62" s="7"/>
      <c r="X62" s="7"/>
      <c r="Y62" s="7"/>
      <c r="Z62" s="7"/>
    </row>
    <row r="63" ht="14.25" customHeight="1">
      <c r="A63" s="55"/>
      <c r="B63" s="7"/>
      <c r="C63" s="7"/>
      <c r="D63" s="7"/>
      <c r="E63" s="7"/>
      <c r="F63" s="7"/>
      <c r="G63" s="7"/>
      <c r="H63" s="7"/>
      <c r="I63" s="7"/>
      <c r="J63" s="7"/>
      <c r="K63" s="7"/>
      <c r="L63" s="7"/>
      <c r="M63" s="7"/>
      <c r="N63" s="7"/>
      <c r="O63" s="7"/>
      <c r="P63" s="7"/>
      <c r="Q63" s="7"/>
      <c r="R63" s="7"/>
      <c r="S63" s="7"/>
      <c r="T63" s="7"/>
      <c r="U63" s="7"/>
      <c r="V63" s="7"/>
      <c r="W63" s="7"/>
      <c r="X63" s="7"/>
      <c r="Y63" s="7"/>
      <c r="Z63" s="7"/>
    </row>
    <row r="64" ht="14.25" customHeight="1">
      <c r="A64" s="55"/>
      <c r="B64" s="7"/>
      <c r="C64" s="7"/>
      <c r="D64" s="7"/>
      <c r="E64" s="7"/>
      <c r="F64" s="7"/>
      <c r="G64" s="7"/>
      <c r="H64" s="7"/>
      <c r="I64" s="7"/>
      <c r="J64" s="7"/>
      <c r="K64" s="7"/>
      <c r="L64" s="7"/>
      <c r="M64" s="7"/>
      <c r="N64" s="7"/>
      <c r="O64" s="7"/>
      <c r="P64" s="7"/>
      <c r="Q64" s="7"/>
      <c r="R64" s="7"/>
      <c r="S64" s="7"/>
      <c r="T64" s="7"/>
      <c r="U64" s="7"/>
      <c r="V64" s="7"/>
      <c r="W64" s="7"/>
      <c r="X64" s="7"/>
      <c r="Y64" s="7"/>
      <c r="Z64" s="7"/>
    </row>
    <row r="65" ht="14.25" customHeight="1">
      <c r="A65" s="55"/>
      <c r="B65" s="7"/>
      <c r="C65" s="7"/>
      <c r="D65" s="7"/>
      <c r="E65" s="7"/>
      <c r="F65" s="7"/>
      <c r="G65" s="7"/>
      <c r="H65" s="7"/>
      <c r="I65" s="7"/>
      <c r="J65" s="7"/>
      <c r="K65" s="7"/>
      <c r="L65" s="7"/>
      <c r="M65" s="7"/>
      <c r="N65" s="7"/>
      <c r="O65" s="7"/>
      <c r="P65" s="7"/>
      <c r="Q65" s="7"/>
      <c r="R65" s="7"/>
      <c r="S65" s="7"/>
      <c r="T65" s="7"/>
      <c r="U65" s="7"/>
      <c r="V65" s="7"/>
      <c r="W65" s="7"/>
      <c r="X65" s="7"/>
      <c r="Y65" s="7"/>
      <c r="Z65" s="7"/>
    </row>
    <row r="66" ht="14.25" customHeight="1">
      <c r="A66" s="55"/>
      <c r="B66" s="7"/>
      <c r="C66" s="7"/>
      <c r="D66" s="7"/>
      <c r="E66" s="7"/>
      <c r="F66" s="7"/>
      <c r="G66" s="7"/>
      <c r="H66" s="7"/>
      <c r="I66" s="7"/>
      <c r="J66" s="7"/>
      <c r="K66" s="7"/>
      <c r="L66" s="7"/>
      <c r="M66" s="7"/>
      <c r="N66" s="7"/>
      <c r="O66" s="7"/>
      <c r="P66" s="7"/>
      <c r="Q66" s="7"/>
      <c r="R66" s="7"/>
      <c r="S66" s="7"/>
      <c r="T66" s="7"/>
      <c r="U66" s="7"/>
      <c r="V66" s="7"/>
      <c r="W66" s="7"/>
      <c r="X66" s="7"/>
      <c r="Y66" s="7"/>
      <c r="Z66" s="7"/>
    </row>
    <row r="67" ht="14.25" customHeight="1">
      <c r="A67" s="55"/>
      <c r="B67" s="7"/>
      <c r="C67" s="7"/>
      <c r="D67" s="7"/>
      <c r="E67" s="7"/>
      <c r="F67" s="7"/>
      <c r="G67" s="7"/>
      <c r="H67" s="7"/>
      <c r="I67" s="7"/>
      <c r="J67" s="7"/>
      <c r="K67" s="7"/>
      <c r="L67" s="7"/>
      <c r="M67" s="7"/>
      <c r="N67" s="7"/>
      <c r="O67" s="7"/>
      <c r="P67" s="7"/>
      <c r="Q67" s="7"/>
      <c r="R67" s="7"/>
      <c r="S67" s="7"/>
      <c r="T67" s="7"/>
      <c r="U67" s="7"/>
      <c r="V67" s="7"/>
      <c r="W67" s="7"/>
      <c r="X67" s="7"/>
      <c r="Y67" s="7"/>
      <c r="Z67" s="7"/>
    </row>
    <row r="68" ht="14.25" customHeight="1">
      <c r="A68" s="55"/>
      <c r="B68" s="7"/>
      <c r="C68" s="7"/>
      <c r="D68" s="7"/>
      <c r="E68" s="7"/>
      <c r="F68" s="7"/>
      <c r="G68" s="7"/>
      <c r="H68" s="7"/>
      <c r="I68" s="7"/>
      <c r="J68" s="7"/>
      <c r="K68" s="7"/>
      <c r="L68" s="7"/>
      <c r="M68" s="7"/>
      <c r="N68" s="7"/>
      <c r="O68" s="7"/>
      <c r="P68" s="7"/>
      <c r="Q68" s="7"/>
      <c r="R68" s="7"/>
      <c r="S68" s="7"/>
      <c r="T68" s="7"/>
      <c r="U68" s="7"/>
      <c r="V68" s="7"/>
      <c r="W68" s="7"/>
      <c r="X68" s="7"/>
      <c r="Y68" s="7"/>
      <c r="Z68" s="7"/>
    </row>
    <row r="69" ht="14.25" customHeight="1">
      <c r="A69" s="7"/>
      <c r="B69" s="7"/>
      <c r="C69" s="7"/>
      <c r="D69" s="7"/>
      <c r="E69" s="7"/>
      <c r="F69" s="7"/>
      <c r="G69" s="7"/>
      <c r="H69" s="7"/>
      <c r="I69" s="7"/>
      <c r="J69" s="7"/>
      <c r="K69" s="7"/>
      <c r="L69" s="7"/>
      <c r="M69" s="7"/>
      <c r="N69" s="7"/>
      <c r="O69" s="7"/>
      <c r="P69" s="7"/>
      <c r="Q69" s="7"/>
      <c r="R69" s="7"/>
      <c r="S69" s="7"/>
      <c r="T69" s="7"/>
      <c r="U69" s="7"/>
      <c r="V69" s="7"/>
      <c r="W69" s="7"/>
      <c r="X69" s="7"/>
      <c r="Y69" s="7"/>
      <c r="Z69" s="7"/>
    </row>
    <row r="70" ht="14.25" customHeight="1">
      <c r="A70" s="7"/>
      <c r="B70" s="7"/>
      <c r="C70" s="7"/>
      <c r="D70" s="7"/>
      <c r="E70" s="7"/>
      <c r="F70" s="7"/>
      <c r="G70" s="7"/>
      <c r="H70" s="7"/>
      <c r="I70" s="7"/>
      <c r="J70" s="7"/>
      <c r="K70" s="7"/>
      <c r="L70" s="7"/>
      <c r="M70" s="7"/>
      <c r="N70" s="7"/>
      <c r="O70" s="7"/>
      <c r="P70" s="7"/>
      <c r="Q70" s="7"/>
      <c r="R70" s="7"/>
      <c r="S70" s="7"/>
      <c r="T70" s="7"/>
      <c r="U70" s="7"/>
      <c r="V70" s="7"/>
      <c r="W70" s="7"/>
      <c r="X70" s="7"/>
      <c r="Y70" s="7"/>
      <c r="Z70" s="7"/>
    </row>
    <row r="71" ht="14.25" customHeight="1">
      <c r="A71" s="7"/>
      <c r="B71" s="7"/>
      <c r="C71" s="7"/>
      <c r="D71" s="7"/>
      <c r="E71" s="7"/>
      <c r="F71" s="7"/>
      <c r="G71" s="7"/>
      <c r="H71" s="7"/>
      <c r="I71" s="7"/>
      <c r="J71" s="7"/>
      <c r="K71" s="7"/>
      <c r="L71" s="7"/>
      <c r="M71" s="7"/>
      <c r="N71" s="7"/>
      <c r="O71" s="7"/>
      <c r="P71" s="7"/>
      <c r="Q71" s="7"/>
      <c r="R71" s="7"/>
      <c r="S71" s="7"/>
      <c r="T71" s="7"/>
      <c r="U71" s="7"/>
      <c r="V71" s="7"/>
      <c r="W71" s="7"/>
      <c r="X71" s="7"/>
      <c r="Y71" s="7"/>
      <c r="Z71" s="7"/>
    </row>
    <row r="72" ht="14.25" customHeight="1">
      <c r="A72" s="7"/>
      <c r="B72" s="7"/>
      <c r="C72" s="7"/>
      <c r="D72" s="7"/>
      <c r="E72" s="7"/>
      <c r="F72" s="7"/>
      <c r="G72" s="7"/>
      <c r="H72" s="7"/>
      <c r="I72" s="7"/>
      <c r="J72" s="7"/>
      <c r="K72" s="7"/>
      <c r="L72" s="7"/>
      <c r="M72" s="7"/>
      <c r="N72" s="7"/>
      <c r="O72" s="7"/>
      <c r="P72" s="7"/>
      <c r="Q72" s="7"/>
      <c r="R72" s="7"/>
      <c r="S72" s="7"/>
      <c r="T72" s="7"/>
      <c r="U72" s="7"/>
      <c r="V72" s="7"/>
      <c r="W72" s="7"/>
      <c r="X72" s="7"/>
      <c r="Y72" s="7"/>
      <c r="Z72" s="7"/>
    </row>
    <row r="73" ht="14.25" customHeight="1">
      <c r="A73" s="7"/>
      <c r="B73" s="7"/>
      <c r="C73" s="7"/>
      <c r="D73" s="7"/>
      <c r="E73" s="7"/>
      <c r="F73" s="7"/>
      <c r="G73" s="7"/>
      <c r="H73" s="7"/>
      <c r="I73" s="7"/>
      <c r="J73" s="7"/>
      <c r="K73" s="7"/>
      <c r="L73" s="7"/>
      <c r="M73" s="7"/>
      <c r="N73" s="7"/>
      <c r="O73" s="7"/>
      <c r="P73" s="7"/>
      <c r="Q73" s="7"/>
      <c r="R73" s="7"/>
      <c r="S73" s="7"/>
      <c r="T73" s="7"/>
      <c r="U73" s="7"/>
      <c r="V73" s="7"/>
      <c r="W73" s="7"/>
      <c r="X73" s="7"/>
      <c r="Y73" s="7"/>
      <c r="Z73" s="7"/>
    </row>
    <row r="74" ht="14.25" customHeight="1">
      <c r="A74" s="7"/>
      <c r="B74" s="7"/>
      <c r="C74" s="7"/>
      <c r="D74" s="7"/>
      <c r="E74" s="7"/>
      <c r="F74" s="7"/>
      <c r="G74" s="7"/>
      <c r="H74" s="7"/>
      <c r="I74" s="7"/>
      <c r="J74" s="7"/>
      <c r="K74" s="7"/>
      <c r="L74" s="7"/>
      <c r="M74" s="7"/>
      <c r="N74" s="7"/>
      <c r="O74" s="7"/>
      <c r="P74" s="7"/>
      <c r="Q74" s="7"/>
      <c r="R74" s="7"/>
      <c r="S74" s="7"/>
      <c r="T74" s="7"/>
      <c r="U74" s="7"/>
      <c r="V74" s="7"/>
      <c r="W74" s="7"/>
      <c r="X74" s="7"/>
      <c r="Y74" s="7"/>
      <c r="Z74" s="7"/>
    </row>
    <row r="75" ht="14.2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7"/>
      <c r="B76" s="7"/>
      <c r="C76" s="7"/>
      <c r="D76" s="7"/>
      <c r="E76" s="7"/>
      <c r="F76" s="7"/>
      <c r="G76" s="7"/>
      <c r="H76" s="7"/>
      <c r="I76" s="7"/>
      <c r="J76" s="7"/>
      <c r="K76" s="7"/>
      <c r="L76" s="7"/>
      <c r="M76" s="7"/>
      <c r="N76" s="7"/>
      <c r="O76" s="7"/>
      <c r="P76" s="7"/>
      <c r="Q76" s="7"/>
      <c r="R76" s="7"/>
      <c r="S76" s="7"/>
      <c r="T76" s="7"/>
      <c r="U76" s="7"/>
      <c r="V76" s="7"/>
      <c r="W76" s="7"/>
      <c r="X76" s="7"/>
      <c r="Y76" s="7"/>
      <c r="Z76" s="7"/>
    </row>
    <row r="77" ht="14.25" customHeight="1">
      <c r="A77" s="7"/>
      <c r="B77" s="7"/>
      <c r="C77" s="7"/>
      <c r="D77" s="7"/>
      <c r="E77" s="7"/>
      <c r="F77" s="7"/>
      <c r="G77" s="7"/>
      <c r="H77" s="7"/>
      <c r="I77" s="7"/>
      <c r="J77" s="7"/>
      <c r="K77" s="7"/>
      <c r="L77" s="7"/>
      <c r="M77" s="7"/>
      <c r="N77" s="7"/>
      <c r="O77" s="7"/>
      <c r="P77" s="7"/>
      <c r="Q77" s="7"/>
      <c r="R77" s="7"/>
      <c r="S77" s="7"/>
      <c r="T77" s="7"/>
      <c r="U77" s="7"/>
      <c r="V77" s="7"/>
      <c r="W77" s="7"/>
      <c r="X77" s="7"/>
      <c r="Y77" s="7"/>
      <c r="Z77" s="7"/>
    </row>
    <row r="78" ht="14.25" customHeight="1">
      <c r="A78" s="7"/>
      <c r="B78" s="7"/>
      <c r="C78" s="7"/>
      <c r="D78" s="7"/>
      <c r="E78" s="7"/>
      <c r="F78" s="7"/>
      <c r="G78" s="7"/>
      <c r="H78" s="7"/>
      <c r="I78" s="7"/>
      <c r="J78" s="7"/>
      <c r="K78" s="7"/>
      <c r="L78" s="7"/>
      <c r="M78" s="7"/>
      <c r="N78" s="7"/>
      <c r="O78" s="7"/>
      <c r="P78" s="7"/>
      <c r="Q78" s="7"/>
      <c r="R78" s="7"/>
      <c r="S78" s="7"/>
      <c r="T78" s="7"/>
      <c r="U78" s="7"/>
      <c r="V78" s="7"/>
      <c r="W78" s="7"/>
      <c r="X78" s="7"/>
      <c r="Y78" s="7"/>
      <c r="Z78" s="7"/>
    </row>
    <row r="79" ht="14.25" customHeight="1">
      <c r="A79" s="7"/>
      <c r="B79" s="7"/>
      <c r="C79" s="7"/>
      <c r="D79" s="7"/>
      <c r="E79" s="7"/>
      <c r="F79" s="7"/>
      <c r="G79" s="7"/>
      <c r="H79" s="7"/>
      <c r="I79" s="7"/>
      <c r="J79" s="7"/>
      <c r="K79" s="7"/>
      <c r="L79" s="7"/>
      <c r="M79" s="7"/>
      <c r="N79" s="7"/>
      <c r="O79" s="7"/>
      <c r="P79" s="7"/>
      <c r="Q79" s="7"/>
      <c r="R79" s="7"/>
      <c r="S79" s="7"/>
      <c r="T79" s="7"/>
      <c r="U79" s="7"/>
      <c r="V79" s="7"/>
      <c r="W79" s="7"/>
      <c r="X79" s="7"/>
      <c r="Y79" s="7"/>
      <c r="Z79" s="7"/>
    </row>
    <row r="80" ht="14.25" customHeight="1">
      <c r="A80" s="7"/>
      <c r="B80" s="7"/>
      <c r="C80" s="7"/>
      <c r="D80" s="7"/>
      <c r="E80" s="7"/>
      <c r="F80" s="7"/>
      <c r="G80" s="7"/>
      <c r="H80" s="7"/>
      <c r="I80" s="7"/>
      <c r="J80" s="7"/>
      <c r="K80" s="7"/>
      <c r="L80" s="7"/>
      <c r="M80" s="7"/>
      <c r="N80" s="7"/>
      <c r="O80" s="7"/>
      <c r="P80" s="7"/>
      <c r="Q80" s="7"/>
      <c r="R80" s="7"/>
      <c r="S80" s="7"/>
      <c r="T80" s="7"/>
      <c r="U80" s="7"/>
      <c r="V80" s="7"/>
      <c r="W80" s="7"/>
      <c r="X80" s="7"/>
      <c r="Y80" s="7"/>
      <c r="Z80" s="7"/>
    </row>
    <row r="81" ht="14.25" customHeight="1">
      <c r="A81" s="7"/>
      <c r="B81" s="7"/>
      <c r="C81" s="7"/>
      <c r="D81" s="7"/>
      <c r="E81" s="7"/>
      <c r="F81" s="7"/>
      <c r="G81" s="7"/>
      <c r="H81" s="7"/>
      <c r="I81" s="7"/>
      <c r="J81" s="7"/>
      <c r="K81" s="7"/>
      <c r="L81" s="7"/>
      <c r="M81" s="7"/>
      <c r="N81" s="7"/>
      <c r="O81" s="7"/>
      <c r="P81" s="7"/>
      <c r="Q81" s="7"/>
      <c r="R81" s="7"/>
      <c r="S81" s="7"/>
      <c r="T81" s="7"/>
      <c r="U81" s="7"/>
      <c r="V81" s="7"/>
      <c r="W81" s="7"/>
      <c r="X81" s="7"/>
      <c r="Y81" s="7"/>
      <c r="Z81" s="7"/>
    </row>
    <row r="82" ht="14.25" customHeight="1">
      <c r="A82" s="7"/>
      <c r="B82" s="7"/>
      <c r="C82" s="7"/>
      <c r="D82" s="7"/>
      <c r="E82" s="7"/>
      <c r="F82" s="7"/>
      <c r="G82" s="7"/>
      <c r="H82" s="7"/>
      <c r="I82" s="7"/>
      <c r="J82" s="7"/>
      <c r="K82" s="7"/>
      <c r="L82" s="7"/>
      <c r="M82" s="7"/>
      <c r="N82" s="7"/>
      <c r="O82" s="7"/>
      <c r="P82" s="7"/>
      <c r="Q82" s="7"/>
      <c r="R82" s="7"/>
      <c r="S82" s="7"/>
      <c r="T82" s="7"/>
      <c r="U82" s="7"/>
      <c r="V82" s="7"/>
      <c r="W82" s="7"/>
      <c r="X82" s="7"/>
      <c r="Y82" s="7"/>
      <c r="Z82" s="7"/>
    </row>
    <row r="83" ht="14.25" customHeight="1">
      <c r="A83" s="7"/>
      <c r="B83" s="7"/>
      <c r="C83" s="7"/>
      <c r="D83" s="7"/>
      <c r="E83" s="7"/>
      <c r="F83" s="7"/>
      <c r="G83" s="7"/>
      <c r="H83" s="7"/>
      <c r="I83" s="7"/>
      <c r="J83" s="7"/>
      <c r="K83" s="7"/>
      <c r="L83" s="7"/>
      <c r="M83" s="7"/>
      <c r="N83" s="7"/>
      <c r="O83" s="7"/>
      <c r="P83" s="7"/>
      <c r="Q83" s="7"/>
      <c r="R83" s="7"/>
      <c r="S83" s="7"/>
      <c r="T83" s="7"/>
      <c r="U83" s="7"/>
      <c r="V83" s="7"/>
      <c r="W83" s="7"/>
      <c r="X83" s="7"/>
      <c r="Y83" s="7"/>
      <c r="Z83" s="7"/>
    </row>
    <row r="84" ht="14.25" customHeight="1">
      <c r="A84" s="7"/>
      <c r="B84" s="7"/>
      <c r="C84" s="7"/>
      <c r="D84" s="7"/>
      <c r="E84" s="7"/>
      <c r="F84" s="7"/>
      <c r="G84" s="7"/>
      <c r="H84" s="7"/>
      <c r="I84" s="7"/>
      <c r="J84" s="7"/>
      <c r="K84" s="7"/>
      <c r="L84" s="7"/>
      <c r="M84" s="7"/>
      <c r="N84" s="7"/>
      <c r="O84" s="7"/>
      <c r="P84" s="7"/>
      <c r="Q84" s="7"/>
      <c r="R84" s="7"/>
      <c r="S84" s="7"/>
      <c r="T84" s="7"/>
      <c r="U84" s="7"/>
      <c r="V84" s="7"/>
      <c r="W84" s="7"/>
      <c r="X84" s="7"/>
      <c r="Y84" s="7"/>
      <c r="Z84" s="7"/>
    </row>
    <row r="85" ht="14.2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4.2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4.2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4.2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4.2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4.2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4.2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4.2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4.2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4.2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4.2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4.2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4.2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4.2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4.2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4.2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4.2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4.2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4.2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4.2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4.2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4.2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4.2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4.2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12">
    <mergeCell ref="E6:H6"/>
    <mergeCell ref="E8:H8"/>
    <mergeCell ref="E9:H9"/>
    <mergeCell ref="E10:H10"/>
    <mergeCell ref="A1:J1"/>
    <mergeCell ref="E2:H3"/>
    <mergeCell ref="A5:A6"/>
    <mergeCell ref="B5:B6"/>
    <mergeCell ref="E5:H5"/>
    <mergeCell ref="A8:A11"/>
    <mergeCell ref="B8:B11"/>
    <mergeCell ref="E11:H11"/>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workbookViewId="0"/>
  </sheetViews>
  <sheetFormatPr customHeight="1" defaultColWidth="14.43" defaultRowHeight="15.0"/>
  <cols>
    <col customWidth="1" min="1" max="1" width="21.29"/>
    <col customWidth="1" min="2" max="2" width="55.43"/>
    <col customWidth="1" min="3" max="3" width="69.71"/>
    <col customWidth="1" min="4" max="4" width="66.29"/>
    <col customWidth="1" min="5" max="5" width="57.71"/>
    <col customWidth="1" min="6" max="26" width="8.71"/>
  </cols>
  <sheetData>
    <row r="1" ht="14.25" customHeight="1">
      <c r="A1" s="107" t="s">
        <v>118</v>
      </c>
      <c r="B1" s="107" t="s">
        <v>119</v>
      </c>
      <c r="C1" s="107" t="s">
        <v>120</v>
      </c>
      <c r="D1" s="107" t="s">
        <v>121</v>
      </c>
      <c r="E1" s="107" t="s">
        <v>122</v>
      </c>
    </row>
    <row r="2" ht="14.25" customHeight="1">
      <c r="A2" s="5" t="s">
        <v>16</v>
      </c>
      <c r="B2" s="115" t="str">
        <f>IF('Matrix - Part 2'!I5=4,'Matrix - Part 2'!H6,"")</f>
        <v/>
      </c>
      <c r="C2" s="109" t="s">
        <v>123</v>
      </c>
      <c r="D2" s="116" t="s">
        <v>124</v>
      </c>
      <c r="E2" s="81" t="s">
        <v>125</v>
      </c>
    </row>
    <row r="3" ht="14.25" customHeight="1">
      <c r="B3" s="117" t="str">
        <f>IF('Matrix - Part 2'!I10=4,'Matrix - Part 2'!H12,"")</f>
        <v/>
      </c>
      <c r="D3" s="108" t="s">
        <v>126</v>
      </c>
      <c r="E3" s="80" t="s">
        <v>127</v>
      </c>
    </row>
    <row r="4" ht="14.25" customHeight="1">
      <c r="A4" s="118"/>
      <c r="B4" s="119" t="str">
        <f>IF('Matrix - Part 2'!I23=4,'Matrix - Part 2'!H24,"")</f>
        <v/>
      </c>
      <c r="C4" s="118"/>
      <c r="D4" s="120" t="s">
        <v>128</v>
      </c>
      <c r="E4" s="121" t="s">
        <v>129</v>
      </c>
    </row>
    <row r="5" ht="100.5" customHeight="1">
      <c r="A5" s="5" t="s">
        <v>17</v>
      </c>
      <c r="B5" s="80" t="str">
        <f>IF('Matrix - Part 3'!I8=4,'Matrix - Part 3'!H9,"")</f>
        <v/>
      </c>
      <c r="C5" s="122" t="s">
        <v>130</v>
      </c>
      <c r="D5" s="80" t="s">
        <v>131</v>
      </c>
      <c r="E5" s="116" t="s">
        <v>132</v>
      </c>
    </row>
    <row r="6" ht="60.0" customHeight="1">
      <c r="B6" s="81" t="str">
        <f>IF('Matrix - Part 3'!I11=4,'Matrix - Part 3'!H14,"")</f>
        <v/>
      </c>
      <c r="D6" s="80" t="s">
        <v>133</v>
      </c>
      <c r="E6" s="81" t="s">
        <v>134</v>
      </c>
    </row>
    <row r="7" ht="64.5" customHeight="1">
      <c r="A7" s="118"/>
      <c r="B7" s="121" t="str">
        <f>IF('Matrix - Part 3'!I20=4,'Matrix - Part 3'!H23,"")</f>
        <v/>
      </c>
      <c r="C7" s="118"/>
      <c r="D7" s="120" t="s">
        <v>135</v>
      </c>
      <c r="E7" s="121" t="s">
        <v>136</v>
      </c>
    </row>
    <row r="8" ht="66.0" customHeight="1">
      <c r="A8" s="123" t="s">
        <v>18</v>
      </c>
      <c r="B8" s="124" t="str">
        <f>IF('Matrix - Part 4'!I9=4,'Matrix - Part 4'!H11,"")</f>
        <v/>
      </c>
      <c r="C8" s="122" t="s">
        <v>137</v>
      </c>
      <c r="D8" s="125" t="s">
        <v>138</v>
      </c>
      <c r="E8" s="126" t="s">
        <v>139</v>
      </c>
    </row>
    <row r="9" ht="14.25" customHeight="1">
      <c r="B9" s="80" t="str">
        <f>IF('Matrix - Part 4'!I13=4,'Matrix - Part 4'!H13,"")</f>
        <v/>
      </c>
      <c r="D9" s="80" t="s">
        <v>140</v>
      </c>
      <c r="E9" s="81" t="s">
        <v>141</v>
      </c>
    </row>
    <row r="10" ht="14.25" customHeight="1">
      <c r="B10" s="81" t="str">
        <f>IF('Matrix - Part 4'!I18=4,'Matrix - Part 4'!H19,"")</f>
        <v/>
      </c>
      <c r="D10" s="80" t="s">
        <v>142</v>
      </c>
      <c r="E10" s="81" t="s">
        <v>143</v>
      </c>
    </row>
    <row r="11" ht="81.0" customHeight="1">
      <c r="B11" s="108" t="str">
        <f>IF('Matrix - Part 4'!I27=4,'Matrix - Part 4'!H30,"")</f>
        <v/>
      </c>
      <c r="D11" s="80" t="s">
        <v>144</v>
      </c>
      <c r="E11" s="56" t="s">
        <v>145</v>
      </c>
    </row>
    <row r="12" ht="69.0" customHeight="1">
      <c r="B12" s="7" t="str">
        <f>IF('Matrix - Part 4'!I32=4,'Matrix - Part 4'!H34,"")</f>
        <v/>
      </c>
      <c r="D12" s="80" t="s">
        <v>146</v>
      </c>
      <c r="E12" s="81" t="s">
        <v>147</v>
      </c>
    </row>
    <row r="13" ht="62.25" customHeight="1">
      <c r="B13" s="7" t="str">
        <f>IF('Matrix - Part 4'!I36=4,'Matrix - Part 4'!H37,"")</f>
        <v/>
      </c>
      <c r="D13" s="80" t="s">
        <v>148</v>
      </c>
      <c r="E13" s="80" t="s">
        <v>149</v>
      </c>
    </row>
    <row r="14" ht="62.25" customHeight="1">
      <c r="A14" s="118"/>
      <c r="B14" s="127" t="str">
        <f>IF('Matrix - Part 4'!I40=4,'Matrix - Part 4'!H42,"")</f>
        <v/>
      </c>
      <c r="C14" s="118"/>
      <c r="D14" s="120" t="s">
        <v>150</v>
      </c>
      <c r="E14" s="120" t="s">
        <v>151</v>
      </c>
    </row>
    <row r="15" ht="70.5" customHeight="1">
      <c r="A15" s="7" t="s">
        <v>19</v>
      </c>
      <c r="B15" s="80" t="str">
        <f>IF('Matrix - Part 5'!I19=4,'Matrix - Part 5'!H23,"")</f>
        <v/>
      </c>
      <c r="C15" s="128" t="s">
        <v>152</v>
      </c>
      <c r="D15" s="116" t="s">
        <v>153</v>
      </c>
      <c r="E15" s="116" t="s">
        <v>154</v>
      </c>
    </row>
    <row r="16" ht="14.25" customHeight="1">
      <c r="A16" s="7"/>
      <c r="B16" s="81" t="str">
        <f>IF('Matrix - Part 5'!I33=4,'Matrix - Part 5'!H36,"")</f>
        <v/>
      </c>
      <c r="D16" s="80" t="s">
        <v>155</v>
      </c>
      <c r="E16" s="108" t="s">
        <v>156</v>
      </c>
    </row>
    <row r="17" ht="14.25" customHeight="1">
      <c r="A17" s="7"/>
    </row>
    <row r="18" ht="14.25" customHeight="1">
      <c r="A18" s="7"/>
    </row>
    <row r="19" ht="14.25" customHeight="1">
      <c r="A19" s="7" t="s">
        <v>157</v>
      </c>
    </row>
    <row r="20" ht="14.25" customHeight="1">
      <c r="A20" s="7" t="str">
        <f>IFERROR(IF(OR('Matrix - Part 2'!I5=4,'Matrix - Part 2'!I10=4,'Matrix - Part 2'!I23=4),"Contact Stress",""),"")</f>
        <v/>
      </c>
      <c r="C20" s="129">
        <f>COUNTIF(B2:B4,"")</f>
        <v>3</v>
      </c>
      <c r="D20" s="113" t="str">
        <f t="shared" ref="D20:D21" si="1">IF(C20=0,"3","")&amp;IF(C20=1,"2","")&amp;IF(C20=2,"1","")&amp;IF(C20=3,"0","")</f>
        <v>0</v>
      </c>
    </row>
    <row r="21" ht="14.25" customHeight="1">
      <c r="A21" s="7" t="str">
        <f>IFERROR(IF(OR('Matrix - Part 3'!I8=4,'Matrix - Part 3'!I11=4,'Matrix - Part 3'!I20=4),"Force",""),"")</f>
        <v/>
      </c>
      <c r="C21" s="129">
        <f>COUNTIF(B5:B7,"")</f>
        <v>3</v>
      </c>
      <c r="D21" s="113" t="str">
        <f t="shared" si="1"/>
        <v>0</v>
      </c>
    </row>
    <row r="22" ht="14.25" customHeight="1">
      <c r="A22" s="7" t="str">
        <f>IFERROR(IF(OR('Matrix - Part 4'!I9=4,'Matrix - Part 4'!I13=4,'Matrix - Part 4'!I19=4,'Matrix - Part 4'!I27=4,'Matrix - Part 4'!I32=4,'Matrix - Part 4'!I34=4,'Matrix - Part 4'!I36=4,'Matrix - Part 4'!I40=4),"Awkward Posture",""),"")</f>
        <v/>
      </c>
      <c r="C22" s="129">
        <f>COUNTIF(B8:B14,"")</f>
        <v>7</v>
      </c>
      <c r="D22" s="129" t="str">
        <f>IF(C22=7,"0","")&amp;IF(C22=6,"1","")&amp;IF(C22=5,"2","")&amp;IF(C22=4,"3","")&amp;IF(C22=3,"4","")&amp;IF(C22=2,"5","")&amp;IF(C22=1,"6","")&amp;IF(C22=0,"7","")</f>
        <v>0</v>
      </c>
    </row>
    <row r="23" ht="14.25" customHeight="1">
      <c r="A23" s="7" t="str">
        <f>IFERROR(IF(OR('Matrix - Part 5'!I19=4,'Matrix - Part 5'!I33=4),"Repetition",""),"")</f>
        <v/>
      </c>
      <c r="C23" s="129">
        <f>COUNTIF(B15:B16,"")</f>
        <v>2</v>
      </c>
      <c r="D23" s="129" t="str">
        <f>IF(C23=2,"0","")&amp;IF(C23=1,"1","")&amp;IF(C23=0,"2","")</f>
        <v>0</v>
      </c>
    </row>
    <row r="24" ht="14.25" customHeight="1">
      <c r="A24" s="7"/>
      <c r="D24" s="129">
        <f>D20+D21+D22+D23</f>
        <v>0</v>
      </c>
    </row>
    <row r="25" ht="14.25" customHeight="1">
      <c r="A25" s="7"/>
    </row>
    <row r="26" ht="14.25" customHeight="1">
      <c r="A26" s="7"/>
    </row>
    <row r="27" ht="14.25" customHeight="1">
      <c r="A27" s="7"/>
      <c r="C27" s="7" t="str">
        <f>IFERROR(IF(OR('Matrix - Part 2'!K12=4,'Matrix - Part 2'!K17=4,'Matrix - Part 2'!K30=4),"Contact Stress",""),"")</f>
        <v/>
      </c>
    </row>
    <row r="28" ht="14.25" customHeight="1">
      <c r="A28" s="7"/>
      <c r="C28" s="130"/>
      <c r="D28" s="110"/>
    </row>
    <row r="29" ht="14.25" customHeight="1">
      <c r="A29" s="7"/>
      <c r="C29" s="130"/>
    </row>
    <row r="30" ht="14.25" customHeight="1">
      <c r="A30" s="7"/>
      <c r="C30" s="130"/>
    </row>
    <row r="31" ht="14.25" customHeight="1">
      <c r="A31" s="7"/>
      <c r="C31" s="130"/>
    </row>
    <row r="32" ht="14.25" customHeight="1">
      <c r="A32" s="7"/>
      <c r="C32" s="130"/>
    </row>
    <row r="33" ht="14.25" customHeight="1">
      <c r="A33" s="7"/>
    </row>
    <row r="34" ht="14.25" customHeight="1">
      <c r="A34" s="7"/>
    </row>
    <row r="35" ht="14.25" customHeight="1">
      <c r="A35" s="7"/>
    </row>
    <row r="36" ht="14.25" customHeight="1">
      <c r="A36" s="7"/>
    </row>
    <row r="37" ht="14.25" customHeight="1">
      <c r="A37" s="7"/>
    </row>
    <row r="38" ht="14.25" customHeight="1">
      <c r="A38" s="7"/>
    </row>
    <row r="39" ht="14.25" customHeight="1">
      <c r="A39" s="7"/>
    </row>
    <row r="40" ht="14.25" customHeight="1">
      <c r="A40" s="7"/>
    </row>
    <row r="41" ht="14.25" customHeight="1">
      <c r="A41" s="7"/>
    </row>
    <row r="42" ht="14.25" customHeight="1">
      <c r="A42" s="7"/>
    </row>
    <row r="43" ht="14.25" customHeight="1">
      <c r="A43" s="7"/>
    </row>
    <row r="44" ht="14.25" customHeight="1">
      <c r="A44" s="7"/>
    </row>
    <row r="45" ht="14.25" customHeight="1">
      <c r="A45" s="7"/>
    </row>
    <row r="46" ht="14.25" customHeight="1">
      <c r="A46" s="7"/>
    </row>
    <row r="47" ht="14.25" customHeight="1">
      <c r="A47" s="7"/>
    </row>
    <row r="48" ht="14.25" customHeight="1">
      <c r="A48" s="7"/>
    </row>
    <row r="49" ht="14.25" customHeight="1">
      <c r="A49" s="7"/>
      <c r="D49" s="129" t="str">
        <f>(IF('Supervisor Report Logic'!B16="",""))</f>
        <v/>
      </c>
    </row>
    <row r="50" ht="14.25" customHeight="1">
      <c r="A50" s="7"/>
    </row>
    <row r="51" ht="14.25" customHeight="1">
      <c r="A51" s="7"/>
    </row>
    <row r="52" ht="14.25" customHeight="1">
      <c r="A52" s="7"/>
    </row>
    <row r="53" ht="14.25" customHeight="1">
      <c r="A53" s="7"/>
    </row>
    <row r="54" ht="14.25" customHeight="1">
      <c r="A54" s="7"/>
    </row>
    <row r="55" ht="14.25" customHeight="1">
      <c r="A55" s="7"/>
    </row>
    <row r="56" ht="14.25" customHeight="1">
      <c r="A56" s="7"/>
    </row>
    <row r="57" ht="14.25" customHeight="1">
      <c r="A57" s="7"/>
    </row>
    <row r="58" ht="14.25" customHeight="1">
      <c r="A58" s="7"/>
    </row>
    <row r="59" ht="14.25" customHeight="1">
      <c r="A59" s="7"/>
    </row>
    <row r="60" ht="14.25" customHeight="1">
      <c r="A60" s="7"/>
    </row>
    <row r="61" ht="14.25" customHeight="1">
      <c r="A61" s="7"/>
    </row>
    <row r="62" ht="14.25" customHeight="1">
      <c r="A62" s="7"/>
    </row>
    <row r="63" ht="14.25" customHeight="1">
      <c r="A63" s="7"/>
    </row>
    <row r="64" ht="14.25" customHeight="1">
      <c r="A64" s="7"/>
    </row>
    <row r="65" ht="14.25" customHeight="1">
      <c r="A65" s="7"/>
    </row>
    <row r="66" ht="14.25" customHeight="1">
      <c r="A66" s="7"/>
    </row>
    <row r="67" ht="14.25" customHeight="1">
      <c r="A67" s="7"/>
    </row>
    <row r="68" ht="14.25" customHeight="1">
      <c r="A68" s="7"/>
    </row>
    <row r="69" ht="14.25" customHeight="1">
      <c r="A69" s="7"/>
    </row>
    <row r="70" ht="14.25" customHeight="1">
      <c r="A70" s="7"/>
    </row>
    <row r="71" ht="14.25" customHeight="1">
      <c r="A71" s="7"/>
    </row>
    <row r="72" ht="14.25" customHeight="1">
      <c r="A72" s="7"/>
    </row>
    <row r="73" ht="14.25" customHeight="1">
      <c r="A73" s="7"/>
    </row>
    <row r="74" ht="14.25" customHeight="1">
      <c r="A74" s="7"/>
    </row>
    <row r="75" ht="14.25" customHeight="1">
      <c r="A75" s="7"/>
    </row>
    <row r="76" ht="14.25" customHeight="1">
      <c r="A76" s="7"/>
    </row>
    <row r="77" ht="14.25" customHeight="1">
      <c r="A77" s="7"/>
    </row>
    <row r="78" ht="14.25" customHeight="1">
      <c r="A78" s="7"/>
    </row>
    <row r="79" ht="14.25" customHeight="1">
      <c r="A79" s="7"/>
    </row>
    <row r="80" ht="14.25" customHeight="1">
      <c r="A80" s="7"/>
    </row>
    <row r="81" ht="14.25" customHeight="1">
      <c r="A81" s="7"/>
    </row>
    <row r="82" ht="14.25" customHeight="1">
      <c r="A82" s="7"/>
    </row>
    <row r="83" ht="14.25" customHeight="1">
      <c r="A83" s="7"/>
    </row>
    <row r="84" ht="14.25" customHeight="1">
      <c r="A84" s="7"/>
    </row>
    <row r="85" ht="14.25" customHeight="1">
      <c r="A85" s="7"/>
    </row>
    <row r="86" ht="14.25" customHeight="1">
      <c r="A86" s="7"/>
    </row>
    <row r="87" ht="14.25" customHeight="1">
      <c r="A87" s="7"/>
    </row>
    <row r="88" ht="14.25" customHeight="1">
      <c r="A88" s="7"/>
    </row>
    <row r="89" ht="14.25" customHeight="1">
      <c r="A89" s="7"/>
    </row>
    <row r="90" ht="14.25" customHeight="1">
      <c r="A90" s="7"/>
    </row>
    <row r="91" ht="14.25" customHeight="1">
      <c r="A91" s="7"/>
    </row>
    <row r="92" ht="14.25" customHeight="1">
      <c r="A92" s="7"/>
    </row>
    <row r="93" ht="14.25" customHeight="1">
      <c r="A93" s="7"/>
    </row>
    <row r="94" ht="14.25" customHeight="1">
      <c r="A94" s="7"/>
    </row>
    <row r="95" ht="14.25" customHeight="1">
      <c r="A95" s="7"/>
    </row>
    <row r="96" ht="14.25" customHeight="1">
      <c r="A96" s="7"/>
    </row>
    <row r="97" ht="14.25" customHeight="1">
      <c r="A97" s="7"/>
    </row>
    <row r="98" ht="14.25" customHeight="1">
      <c r="A98" s="7"/>
    </row>
    <row r="99" ht="14.25" customHeight="1">
      <c r="A99" s="7"/>
    </row>
    <row r="100" ht="14.25" customHeight="1">
      <c r="A100" s="7"/>
    </row>
    <row r="101" ht="14.25" customHeight="1">
      <c r="A101" s="7"/>
    </row>
    <row r="102" ht="14.25" customHeight="1">
      <c r="A102" s="7"/>
    </row>
    <row r="103" ht="14.25" customHeight="1">
      <c r="A103" s="7"/>
    </row>
    <row r="104" ht="14.25" customHeight="1">
      <c r="A104" s="7"/>
    </row>
    <row r="105" ht="14.25" customHeight="1">
      <c r="A105" s="7"/>
    </row>
    <row r="106" ht="14.25" customHeight="1">
      <c r="A106" s="7"/>
    </row>
    <row r="107" ht="14.25" customHeight="1">
      <c r="A107" s="7"/>
    </row>
    <row r="108" ht="14.25" customHeight="1">
      <c r="A108" s="7"/>
    </row>
    <row r="109" ht="14.25" customHeight="1">
      <c r="A109" s="7"/>
    </row>
    <row r="110" ht="14.25" customHeight="1">
      <c r="A110" s="7"/>
    </row>
    <row r="111" ht="14.25" customHeight="1">
      <c r="A111" s="7"/>
    </row>
    <row r="112" ht="14.25" customHeight="1">
      <c r="A112" s="7"/>
    </row>
    <row r="113" ht="14.25" customHeight="1">
      <c r="A113" s="7"/>
    </row>
    <row r="114" ht="14.25" customHeight="1">
      <c r="A114" s="7"/>
    </row>
    <row r="115" ht="14.25" customHeight="1">
      <c r="A115" s="7"/>
    </row>
    <row r="116" ht="14.25" customHeight="1">
      <c r="A116" s="7"/>
    </row>
    <row r="117" ht="14.25" customHeight="1">
      <c r="A117" s="7"/>
    </row>
    <row r="118" ht="14.25" customHeight="1">
      <c r="A118" s="7"/>
    </row>
    <row r="119" ht="14.25" customHeight="1">
      <c r="A119" s="7"/>
    </row>
    <row r="120" ht="14.25" customHeight="1">
      <c r="A120" s="7"/>
    </row>
    <row r="121" ht="14.25" customHeight="1">
      <c r="A121" s="7"/>
    </row>
    <row r="122" ht="14.25" customHeight="1">
      <c r="A122" s="7"/>
    </row>
    <row r="123" ht="14.25" customHeight="1">
      <c r="A123" s="7"/>
    </row>
    <row r="124" ht="14.25" customHeight="1">
      <c r="A124" s="7"/>
    </row>
    <row r="125" ht="14.25" customHeight="1">
      <c r="A125" s="7"/>
    </row>
    <row r="126" ht="14.25" customHeight="1">
      <c r="A126" s="7"/>
    </row>
    <row r="127" ht="14.25" customHeight="1">
      <c r="A127" s="7"/>
    </row>
    <row r="128" ht="14.25" customHeight="1">
      <c r="A128" s="7"/>
    </row>
    <row r="129" ht="14.25" customHeight="1">
      <c r="A129" s="7"/>
    </row>
    <row r="130" ht="14.25" customHeight="1">
      <c r="A130" s="7"/>
    </row>
    <row r="131" ht="14.25" customHeight="1">
      <c r="A131" s="7"/>
    </row>
    <row r="132" ht="14.25" customHeight="1">
      <c r="A132" s="7"/>
    </row>
    <row r="133" ht="14.25" customHeight="1">
      <c r="A133" s="7"/>
    </row>
    <row r="134" ht="14.25" customHeight="1">
      <c r="A134" s="7"/>
    </row>
    <row r="135" ht="14.25" customHeight="1">
      <c r="A135" s="7"/>
    </row>
    <row r="136" ht="14.25" customHeight="1">
      <c r="A136" s="7"/>
    </row>
    <row r="137" ht="14.25" customHeight="1">
      <c r="A137" s="7"/>
    </row>
    <row r="138" ht="14.25" customHeight="1">
      <c r="A138" s="7"/>
    </row>
    <row r="139" ht="14.25" customHeight="1">
      <c r="A139" s="7"/>
    </row>
    <row r="140" ht="14.25" customHeight="1">
      <c r="A140" s="7"/>
    </row>
    <row r="141" ht="14.25" customHeight="1">
      <c r="A141" s="7"/>
    </row>
    <row r="142" ht="14.25" customHeight="1">
      <c r="A142" s="7"/>
    </row>
    <row r="143" ht="14.25" customHeight="1">
      <c r="A143" s="7"/>
    </row>
    <row r="144" ht="14.25" customHeight="1">
      <c r="A144" s="7"/>
    </row>
    <row r="145" ht="14.25" customHeight="1">
      <c r="A145" s="7"/>
    </row>
    <row r="146" ht="14.25" customHeight="1">
      <c r="A146" s="7"/>
    </row>
    <row r="147" ht="14.25" customHeight="1">
      <c r="A147" s="7"/>
    </row>
    <row r="148" ht="14.25" customHeight="1">
      <c r="A148" s="7"/>
    </row>
    <row r="149" ht="14.25" customHeight="1">
      <c r="A149" s="7"/>
    </row>
    <row r="150" ht="14.25" customHeight="1">
      <c r="A150" s="7"/>
    </row>
    <row r="151" ht="14.25" customHeight="1">
      <c r="A151" s="7"/>
    </row>
    <row r="152" ht="14.25" customHeight="1">
      <c r="A152" s="7"/>
    </row>
    <row r="153" ht="14.25" customHeight="1">
      <c r="A153" s="7"/>
    </row>
    <row r="154" ht="14.25" customHeight="1">
      <c r="A154" s="7"/>
    </row>
    <row r="155" ht="14.25" customHeight="1">
      <c r="A155" s="7"/>
    </row>
    <row r="156" ht="14.25" customHeight="1">
      <c r="A156" s="7"/>
    </row>
    <row r="157" ht="14.25" customHeight="1">
      <c r="A157" s="7"/>
    </row>
    <row r="158" ht="14.25" customHeight="1">
      <c r="A158" s="7"/>
    </row>
    <row r="159" ht="14.25" customHeight="1">
      <c r="A159" s="7"/>
    </row>
    <row r="160" ht="14.25" customHeight="1">
      <c r="A160" s="7"/>
    </row>
    <row r="161" ht="14.25" customHeight="1">
      <c r="A161" s="7"/>
    </row>
    <row r="162" ht="14.25" customHeight="1">
      <c r="A162" s="7"/>
    </row>
    <row r="163" ht="14.25" customHeight="1">
      <c r="A163" s="7"/>
    </row>
    <row r="164" ht="14.25" customHeight="1">
      <c r="A164" s="7"/>
    </row>
    <row r="165" ht="14.25" customHeight="1">
      <c r="A165" s="7"/>
    </row>
    <row r="166" ht="14.25" customHeight="1">
      <c r="A166" s="7"/>
    </row>
    <row r="167" ht="14.25" customHeight="1">
      <c r="A167" s="7"/>
    </row>
    <row r="168" ht="14.25" customHeight="1">
      <c r="A168" s="7"/>
    </row>
    <row r="169" ht="14.25" customHeight="1">
      <c r="A169" s="7"/>
    </row>
    <row r="170" ht="14.25" customHeight="1">
      <c r="A170" s="7"/>
    </row>
    <row r="171" ht="14.25" customHeight="1">
      <c r="A171" s="7"/>
    </row>
    <row r="172" ht="14.25" customHeight="1">
      <c r="A172" s="7"/>
    </row>
    <row r="173" ht="14.25" customHeight="1">
      <c r="A173" s="7"/>
    </row>
    <row r="174" ht="14.25" customHeight="1">
      <c r="A174" s="7"/>
    </row>
    <row r="175" ht="14.25" customHeight="1">
      <c r="A175" s="7"/>
    </row>
    <row r="176" ht="14.25" customHeight="1">
      <c r="A176" s="7"/>
    </row>
    <row r="177" ht="14.25" customHeight="1">
      <c r="A177" s="7"/>
    </row>
    <row r="178" ht="14.25" customHeight="1">
      <c r="A178" s="7"/>
    </row>
    <row r="179" ht="14.25" customHeight="1">
      <c r="A179" s="7"/>
    </row>
    <row r="180" ht="14.25" customHeight="1">
      <c r="A180" s="7"/>
    </row>
    <row r="181" ht="14.25" customHeight="1">
      <c r="A181" s="7"/>
    </row>
    <row r="182" ht="14.25" customHeight="1">
      <c r="A182" s="7"/>
    </row>
    <row r="183" ht="14.25" customHeight="1">
      <c r="A183" s="7"/>
    </row>
    <row r="184" ht="14.25" customHeight="1">
      <c r="A184" s="7"/>
    </row>
    <row r="185" ht="14.25" customHeight="1">
      <c r="A185" s="7"/>
    </row>
    <row r="186" ht="14.25" customHeight="1">
      <c r="A186" s="7"/>
    </row>
    <row r="187" ht="14.25" customHeight="1">
      <c r="A187" s="7"/>
    </row>
    <row r="188" ht="14.25" customHeight="1">
      <c r="A188" s="7"/>
    </row>
    <row r="189" ht="14.25" customHeight="1">
      <c r="A189" s="7"/>
    </row>
    <row r="190" ht="14.25" customHeight="1">
      <c r="A190" s="7"/>
    </row>
    <row r="191" ht="14.25" customHeight="1">
      <c r="A191" s="7"/>
    </row>
    <row r="192" ht="14.25" customHeight="1">
      <c r="A192" s="7"/>
    </row>
    <row r="193" ht="14.25" customHeight="1">
      <c r="A193" s="7"/>
    </row>
    <row r="194" ht="14.25" customHeight="1">
      <c r="A194" s="7"/>
    </row>
    <row r="195" ht="14.25" customHeight="1">
      <c r="A195" s="7"/>
    </row>
    <row r="196" ht="14.25" customHeight="1">
      <c r="A196" s="7"/>
    </row>
    <row r="197" ht="14.25" customHeight="1">
      <c r="A197" s="7"/>
    </row>
    <row r="198" ht="14.25" customHeight="1">
      <c r="A198" s="7"/>
    </row>
    <row r="199" ht="14.25" customHeight="1">
      <c r="A199" s="7"/>
    </row>
    <row r="200" ht="14.25" customHeight="1">
      <c r="A200" s="7"/>
    </row>
    <row r="201" ht="14.25" customHeight="1">
      <c r="A201" s="7"/>
    </row>
    <row r="202" ht="14.25" customHeight="1">
      <c r="A202" s="7"/>
    </row>
    <row r="203" ht="14.25" customHeight="1">
      <c r="A203" s="7"/>
    </row>
    <row r="204" ht="14.25" customHeight="1">
      <c r="A204" s="7"/>
    </row>
    <row r="205" ht="14.25" customHeight="1">
      <c r="A205" s="7"/>
    </row>
    <row r="206" ht="14.25" customHeight="1">
      <c r="A206" s="7"/>
    </row>
    <row r="207" ht="14.25" customHeight="1">
      <c r="A207" s="7"/>
    </row>
    <row r="208" ht="14.25" customHeight="1">
      <c r="A208" s="7"/>
    </row>
    <row r="209" ht="14.25" customHeight="1">
      <c r="A209" s="7"/>
    </row>
    <row r="210" ht="14.25" customHeight="1">
      <c r="A210" s="7"/>
    </row>
    <row r="211" ht="14.25" customHeight="1">
      <c r="A211" s="7"/>
    </row>
    <row r="212" ht="14.25" customHeight="1">
      <c r="A212" s="7"/>
    </row>
    <row r="213" ht="14.25" customHeight="1">
      <c r="A213" s="7"/>
    </row>
    <row r="214" ht="14.25" customHeight="1">
      <c r="A214" s="7"/>
    </row>
    <row r="215" ht="14.25" customHeight="1">
      <c r="A215" s="7"/>
    </row>
    <row r="216" ht="14.25" customHeight="1">
      <c r="A216" s="7"/>
    </row>
    <row r="217" ht="14.25" customHeight="1">
      <c r="A217" s="7"/>
    </row>
    <row r="218" ht="14.25" customHeight="1">
      <c r="A218" s="7"/>
    </row>
    <row r="219" ht="14.25" customHeight="1">
      <c r="A219" s="7"/>
    </row>
    <row r="220" ht="14.25" customHeight="1">
      <c r="A220" s="7"/>
    </row>
    <row r="221" ht="14.25" customHeight="1">
      <c r="A221" s="7"/>
    </row>
    <row r="222" ht="14.25" customHeight="1">
      <c r="A222" s="7"/>
    </row>
    <row r="223" ht="14.25" customHeight="1">
      <c r="A223" s="7"/>
    </row>
    <row r="224" ht="14.25" customHeight="1">
      <c r="A224" s="7"/>
    </row>
    <row r="225" ht="14.25" customHeight="1">
      <c r="A225" s="7"/>
    </row>
    <row r="226" ht="14.25" customHeight="1">
      <c r="A226" s="7"/>
    </row>
    <row r="227" ht="14.25" customHeight="1">
      <c r="A227" s="7"/>
    </row>
    <row r="228" ht="14.25" customHeight="1">
      <c r="A228" s="7"/>
    </row>
    <row r="229" ht="14.25" customHeight="1">
      <c r="A229" s="7"/>
    </row>
    <row r="230" ht="14.25" customHeight="1">
      <c r="A230" s="7"/>
    </row>
    <row r="231" ht="14.25" customHeight="1">
      <c r="A231" s="7"/>
    </row>
    <row r="232" ht="14.25" customHeight="1">
      <c r="A232" s="7"/>
    </row>
    <row r="233" ht="14.25" customHeight="1">
      <c r="A233" s="7"/>
    </row>
    <row r="234" ht="14.25" customHeight="1">
      <c r="A234" s="7"/>
    </row>
    <row r="235" ht="14.25" customHeight="1">
      <c r="A235" s="7"/>
    </row>
    <row r="236" ht="14.25" customHeight="1">
      <c r="A236" s="7"/>
    </row>
    <row r="237" ht="14.25" customHeight="1">
      <c r="A237" s="7"/>
    </row>
    <row r="238" ht="14.25" customHeight="1">
      <c r="A238" s="7"/>
    </row>
    <row r="239" ht="14.25" customHeight="1">
      <c r="A239" s="7"/>
    </row>
    <row r="240" ht="14.25" customHeight="1">
      <c r="A240" s="7"/>
    </row>
    <row r="241" ht="14.25" customHeight="1">
      <c r="A241" s="7"/>
    </row>
    <row r="242" ht="14.25" customHeight="1">
      <c r="A242" s="7"/>
    </row>
    <row r="243" ht="14.25" customHeight="1">
      <c r="A243" s="7"/>
    </row>
    <row r="244" ht="14.25" customHeight="1">
      <c r="A244" s="7"/>
    </row>
    <row r="245" ht="14.25" customHeight="1">
      <c r="A245" s="7"/>
    </row>
    <row r="246" ht="14.25" customHeight="1">
      <c r="A246" s="7"/>
    </row>
    <row r="247" ht="14.25" customHeight="1">
      <c r="A247" s="7"/>
    </row>
    <row r="248" ht="14.25" customHeight="1">
      <c r="A248" s="7"/>
    </row>
    <row r="249" ht="14.25" customHeight="1">
      <c r="A249" s="7"/>
    </row>
    <row r="250" ht="14.25" customHeight="1">
      <c r="A250" s="7"/>
    </row>
    <row r="251" ht="14.25" customHeight="1">
      <c r="A251" s="7"/>
    </row>
    <row r="252" ht="14.25" customHeight="1">
      <c r="A252" s="7"/>
    </row>
    <row r="253" ht="14.25" customHeight="1">
      <c r="A253" s="7"/>
    </row>
    <row r="254" ht="14.25" customHeight="1">
      <c r="A254" s="7"/>
    </row>
    <row r="255" ht="14.25" customHeight="1">
      <c r="A255" s="7"/>
    </row>
    <row r="256" ht="14.25" customHeight="1">
      <c r="A256" s="7"/>
    </row>
    <row r="257" ht="14.25" customHeight="1">
      <c r="A257" s="7"/>
    </row>
    <row r="258" ht="14.25" customHeight="1">
      <c r="A258" s="7"/>
    </row>
    <row r="259" ht="14.25" customHeight="1">
      <c r="A259" s="7"/>
    </row>
    <row r="260" ht="14.25" customHeight="1">
      <c r="A260" s="7"/>
    </row>
    <row r="261" ht="14.25" customHeight="1">
      <c r="A261" s="7"/>
    </row>
    <row r="262" ht="14.25" customHeight="1">
      <c r="A262" s="7"/>
    </row>
    <row r="263" ht="14.25" customHeight="1">
      <c r="A263" s="7"/>
    </row>
    <row r="264" ht="14.25" customHeight="1">
      <c r="A264" s="7"/>
    </row>
    <row r="265" ht="14.25" customHeight="1">
      <c r="A265" s="7"/>
    </row>
    <row r="266" ht="14.25" customHeight="1">
      <c r="A266" s="7"/>
    </row>
    <row r="267" ht="14.25" customHeight="1">
      <c r="A267" s="7"/>
    </row>
    <row r="268" ht="14.25" customHeight="1">
      <c r="A268" s="7"/>
    </row>
    <row r="269" ht="14.25" customHeight="1">
      <c r="A269" s="7"/>
    </row>
    <row r="270" ht="14.25" customHeight="1">
      <c r="A270" s="7"/>
    </row>
    <row r="271" ht="14.25" customHeight="1">
      <c r="A271" s="7"/>
    </row>
    <row r="272" ht="14.25" customHeight="1">
      <c r="A272" s="7"/>
    </row>
    <row r="273" ht="14.25" customHeight="1">
      <c r="A273" s="7"/>
    </row>
    <row r="274" ht="14.25" customHeight="1">
      <c r="A274" s="7"/>
    </row>
    <row r="275" ht="14.25" customHeight="1">
      <c r="A275" s="7"/>
    </row>
    <row r="276" ht="14.25" customHeight="1">
      <c r="A276" s="7"/>
    </row>
    <row r="277" ht="14.25" customHeight="1">
      <c r="A277" s="7"/>
    </row>
    <row r="278" ht="14.25" customHeight="1">
      <c r="A278" s="7"/>
    </row>
    <row r="279" ht="14.25" customHeight="1">
      <c r="A279" s="7"/>
    </row>
    <row r="280" ht="14.25" customHeight="1">
      <c r="A280" s="7"/>
    </row>
    <row r="281" ht="14.25" customHeight="1">
      <c r="A281" s="7"/>
    </row>
    <row r="282" ht="14.25" customHeight="1">
      <c r="A282" s="7"/>
    </row>
    <row r="283" ht="14.25" customHeight="1">
      <c r="A283" s="7"/>
    </row>
    <row r="284" ht="14.25" customHeight="1">
      <c r="A284" s="7"/>
    </row>
    <row r="285" ht="14.25" customHeight="1">
      <c r="A285" s="7"/>
    </row>
    <row r="286" ht="14.25" customHeight="1">
      <c r="A286" s="7"/>
    </row>
    <row r="287" ht="14.25" customHeight="1">
      <c r="A287" s="7"/>
    </row>
    <row r="288" ht="14.25" customHeight="1">
      <c r="A288" s="7"/>
    </row>
    <row r="289" ht="14.25" customHeight="1">
      <c r="A289" s="7"/>
    </row>
    <row r="290" ht="14.25" customHeight="1">
      <c r="A290" s="7"/>
    </row>
    <row r="291" ht="14.25" customHeight="1">
      <c r="A291" s="7"/>
    </row>
    <row r="292" ht="14.25" customHeight="1">
      <c r="A292" s="7"/>
    </row>
    <row r="293" ht="14.25" customHeight="1">
      <c r="A293" s="7"/>
    </row>
    <row r="294" ht="14.25" customHeight="1">
      <c r="A294" s="7"/>
    </row>
    <row r="295" ht="14.25" customHeight="1">
      <c r="A295" s="7"/>
    </row>
    <row r="296" ht="14.25" customHeight="1">
      <c r="A296" s="7"/>
    </row>
    <row r="297" ht="14.25" customHeight="1">
      <c r="A297" s="7"/>
    </row>
    <row r="298" ht="14.25" customHeight="1">
      <c r="A298" s="7"/>
    </row>
    <row r="299" ht="14.25" customHeight="1">
      <c r="A299" s="7"/>
    </row>
    <row r="300" ht="14.25" customHeight="1">
      <c r="A300" s="7"/>
    </row>
    <row r="301" ht="14.25" customHeight="1">
      <c r="A301" s="7"/>
    </row>
    <row r="302" ht="14.25" customHeight="1">
      <c r="A302" s="7"/>
    </row>
    <row r="303" ht="14.25" customHeight="1">
      <c r="A303" s="7"/>
    </row>
    <row r="304" ht="14.25" customHeight="1">
      <c r="A304" s="7"/>
    </row>
    <row r="305" ht="14.25" customHeight="1">
      <c r="A305" s="7"/>
    </row>
    <row r="306" ht="14.25" customHeight="1">
      <c r="A306" s="7"/>
    </row>
    <row r="307" ht="14.25" customHeight="1">
      <c r="A307" s="7"/>
    </row>
    <row r="308" ht="14.25" customHeight="1">
      <c r="A308" s="7"/>
    </row>
    <row r="309" ht="14.25" customHeight="1">
      <c r="A309" s="7"/>
    </row>
    <row r="310" ht="14.25" customHeight="1">
      <c r="A310" s="7"/>
    </row>
    <row r="311" ht="14.25" customHeight="1">
      <c r="A311" s="7"/>
    </row>
    <row r="312" ht="14.25" customHeight="1">
      <c r="A312" s="7"/>
    </row>
    <row r="313" ht="14.25" customHeight="1">
      <c r="A313" s="7"/>
    </row>
    <row r="314" ht="14.25" customHeight="1">
      <c r="A314" s="7"/>
    </row>
    <row r="315" ht="14.25" customHeight="1">
      <c r="A315" s="7"/>
    </row>
    <row r="316" ht="14.25" customHeight="1">
      <c r="A316" s="7"/>
    </row>
    <row r="317" ht="14.25" customHeight="1">
      <c r="A317" s="7"/>
    </row>
    <row r="318" ht="14.25" customHeight="1">
      <c r="A318" s="7"/>
    </row>
    <row r="319" ht="14.25" customHeight="1">
      <c r="A319" s="7"/>
    </row>
    <row r="320" ht="14.25" customHeight="1">
      <c r="A320" s="7"/>
    </row>
    <row r="321" ht="14.25" customHeight="1">
      <c r="A321" s="7"/>
    </row>
    <row r="322" ht="14.25" customHeight="1">
      <c r="A322" s="7"/>
    </row>
    <row r="323" ht="14.25" customHeight="1">
      <c r="A323" s="7"/>
    </row>
    <row r="324" ht="14.25" customHeight="1">
      <c r="A324" s="7"/>
    </row>
    <row r="325" ht="14.25" customHeight="1">
      <c r="A325" s="7"/>
    </row>
    <row r="326" ht="14.25" customHeight="1">
      <c r="A326" s="7"/>
    </row>
    <row r="327" ht="14.25" customHeight="1">
      <c r="A327" s="7"/>
    </row>
    <row r="328" ht="14.25" customHeight="1">
      <c r="A328" s="7"/>
    </row>
    <row r="329" ht="14.25" customHeight="1">
      <c r="A329" s="7"/>
    </row>
    <row r="330" ht="14.25" customHeight="1">
      <c r="A330" s="7"/>
    </row>
    <row r="331" ht="14.25" customHeight="1">
      <c r="A331" s="7"/>
    </row>
    <row r="332" ht="14.25" customHeight="1">
      <c r="A332" s="7"/>
    </row>
    <row r="333" ht="14.25" customHeight="1">
      <c r="A333" s="7"/>
    </row>
    <row r="334" ht="14.25" customHeight="1">
      <c r="A334" s="7"/>
    </row>
    <row r="335" ht="14.25" customHeight="1">
      <c r="A335" s="7"/>
    </row>
    <row r="336" ht="14.25" customHeight="1">
      <c r="A336" s="7"/>
    </row>
    <row r="337" ht="14.25" customHeight="1">
      <c r="A337" s="7"/>
    </row>
    <row r="338" ht="14.25" customHeight="1">
      <c r="A338" s="7"/>
    </row>
    <row r="339" ht="14.25" customHeight="1">
      <c r="A339" s="7"/>
    </row>
    <row r="340" ht="14.25" customHeight="1">
      <c r="A340" s="7"/>
    </row>
    <row r="341" ht="14.25" customHeight="1">
      <c r="A341" s="7"/>
    </row>
    <row r="342" ht="14.25" customHeight="1">
      <c r="A342" s="7"/>
    </row>
    <row r="343" ht="14.25" customHeight="1">
      <c r="A343" s="7"/>
    </row>
    <row r="344" ht="14.25" customHeight="1">
      <c r="A344" s="7"/>
    </row>
    <row r="345" ht="14.25" customHeight="1">
      <c r="A345" s="7"/>
    </row>
    <row r="346" ht="14.25" customHeight="1">
      <c r="A346" s="7"/>
    </row>
    <row r="347" ht="14.25" customHeight="1">
      <c r="A347" s="7"/>
    </row>
    <row r="348" ht="14.25" customHeight="1">
      <c r="A348" s="7"/>
    </row>
    <row r="349" ht="14.25" customHeight="1">
      <c r="A349" s="7"/>
    </row>
    <row r="350" ht="14.25" customHeight="1">
      <c r="A350" s="7"/>
    </row>
    <row r="351" ht="14.25" customHeight="1">
      <c r="A351" s="7"/>
    </row>
    <row r="352" ht="14.25" customHeight="1">
      <c r="A352" s="7"/>
    </row>
    <row r="353" ht="14.25" customHeight="1">
      <c r="A353" s="7"/>
    </row>
    <row r="354" ht="14.25" customHeight="1">
      <c r="A354" s="7"/>
    </row>
    <row r="355" ht="14.25" customHeight="1">
      <c r="A355" s="7"/>
    </row>
    <row r="356" ht="14.25" customHeight="1">
      <c r="A356" s="7"/>
    </row>
    <row r="357" ht="14.25" customHeight="1">
      <c r="A357" s="7"/>
    </row>
    <row r="358" ht="14.25" customHeight="1">
      <c r="A358" s="7"/>
    </row>
    <row r="359" ht="14.25" customHeight="1">
      <c r="A359" s="7"/>
    </row>
    <row r="360" ht="14.25" customHeight="1">
      <c r="A360" s="7"/>
    </row>
    <row r="361" ht="14.25" customHeight="1">
      <c r="A361" s="7"/>
    </row>
    <row r="362" ht="14.25" customHeight="1">
      <c r="A362" s="7"/>
    </row>
    <row r="363" ht="14.25" customHeight="1">
      <c r="A363" s="7"/>
    </row>
    <row r="364" ht="14.25" customHeight="1">
      <c r="A364" s="7"/>
    </row>
    <row r="365" ht="14.25" customHeight="1">
      <c r="A365" s="7"/>
    </row>
    <row r="366" ht="14.25" customHeight="1">
      <c r="A366" s="7"/>
    </row>
    <row r="367" ht="14.25" customHeight="1">
      <c r="A367" s="7"/>
    </row>
    <row r="368" ht="14.25" customHeight="1">
      <c r="A368" s="7"/>
    </row>
    <row r="369" ht="14.25" customHeight="1">
      <c r="A369" s="7"/>
    </row>
    <row r="370" ht="14.25" customHeight="1">
      <c r="A370" s="7"/>
    </row>
    <row r="371" ht="14.25" customHeight="1">
      <c r="A371" s="7"/>
    </row>
    <row r="372" ht="14.25" customHeight="1">
      <c r="A372" s="7"/>
    </row>
    <row r="373" ht="14.25" customHeight="1">
      <c r="A373" s="7"/>
    </row>
    <row r="374" ht="14.25" customHeight="1">
      <c r="A374" s="7"/>
    </row>
    <row r="375" ht="14.25" customHeight="1">
      <c r="A375" s="7"/>
    </row>
    <row r="376" ht="14.25" customHeight="1">
      <c r="A376" s="7"/>
    </row>
    <row r="377" ht="14.25" customHeight="1">
      <c r="A377" s="7"/>
    </row>
    <row r="378" ht="14.25" customHeight="1">
      <c r="A378" s="7"/>
    </row>
    <row r="379" ht="14.25" customHeight="1">
      <c r="A379" s="7"/>
    </row>
    <row r="380" ht="14.25" customHeight="1">
      <c r="A380" s="7"/>
    </row>
    <row r="381" ht="14.25" customHeight="1">
      <c r="A381" s="7"/>
    </row>
    <row r="382" ht="14.25" customHeight="1">
      <c r="A382" s="7"/>
    </row>
    <row r="383" ht="14.25" customHeight="1">
      <c r="A383" s="7"/>
    </row>
    <row r="384" ht="14.25" customHeight="1">
      <c r="A384" s="7"/>
    </row>
    <row r="385" ht="14.25" customHeight="1">
      <c r="A385" s="7"/>
    </row>
    <row r="386" ht="14.25" customHeight="1">
      <c r="A386" s="7"/>
    </row>
    <row r="387" ht="14.25" customHeight="1">
      <c r="A387" s="7"/>
    </row>
    <row r="388" ht="14.25" customHeight="1">
      <c r="A388" s="7"/>
    </row>
    <row r="389" ht="14.25" customHeight="1">
      <c r="A389" s="7"/>
    </row>
    <row r="390" ht="14.25" customHeight="1">
      <c r="A390" s="7"/>
    </row>
    <row r="391" ht="14.25" customHeight="1">
      <c r="A391" s="7"/>
    </row>
    <row r="392" ht="14.25" customHeight="1">
      <c r="A392" s="7"/>
    </row>
    <row r="393" ht="14.25" customHeight="1">
      <c r="A393" s="7"/>
    </row>
    <row r="394" ht="14.25" customHeight="1">
      <c r="A394" s="7"/>
    </row>
    <row r="395" ht="14.25" customHeight="1">
      <c r="A395" s="7"/>
    </row>
    <row r="396" ht="14.25" customHeight="1">
      <c r="A396" s="7"/>
    </row>
    <row r="397" ht="14.25" customHeight="1">
      <c r="A397" s="7"/>
    </row>
    <row r="398" ht="14.25" customHeight="1">
      <c r="A398" s="7"/>
    </row>
    <row r="399" ht="14.25" customHeight="1">
      <c r="A399" s="7"/>
    </row>
    <row r="400" ht="14.25" customHeight="1">
      <c r="A400" s="7"/>
    </row>
    <row r="401" ht="14.25" customHeight="1">
      <c r="A401" s="7"/>
    </row>
    <row r="402" ht="14.25" customHeight="1">
      <c r="A402" s="7"/>
    </row>
    <row r="403" ht="14.25" customHeight="1">
      <c r="A403" s="7"/>
    </row>
    <row r="404" ht="14.25" customHeight="1">
      <c r="A404" s="7"/>
    </row>
    <row r="405" ht="14.25" customHeight="1">
      <c r="A405" s="7"/>
    </row>
    <row r="406" ht="14.25" customHeight="1">
      <c r="A406" s="7"/>
    </row>
    <row r="407" ht="14.25" customHeight="1">
      <c r="A407" s="7"/>
    </row>
    <row r="408" ht="14.25" customHeight="1">
      <c r="A408" s="7"/>
    </row>
    <row r="409" ht="14.25" customHeight="1">
      <c r="A409" s="7"/>
    </row>
    <row r="410" ht="14.25" customHeight="1">
      <c r="A410" s="7"/>
    </row>
    <row r="411" ht="14.25" customHeight="1">
      <c r="A411" s="7"/>
    </row>
    <row r="412" ht="14.25" customHeight="1">
      <c r="A412" s="7"/>
    </row>
    <row r="413" ht="14.25" customHeight="1">
      <c r="A413" s="7"/>
    </row>
    <row r="414" ht="14.25" customHeight="1">
      <c r="A414" s="7"/>
    </row>
    <row r="415" ht="14.25" customHeight="1">
      <c r="A415" s="7"/>
    </row>
    <row r="416" ht="14.25" customHeight="1">
      <c r="A416" s="7"/>
    </row>
    <row r="417" ht="14.25" customHeight="1">
      <c r="A417" s="7"/>
    </row>
    <row r="418" ht="14.25" customHeight="1">
      <c r="A418" s="7"/>
    </row>
    <row r="419" ht="14.25" customHeight="1">
      <c r="A419" s="7"/>
    </row>
    <row r="420" ht="14.25" customHeight="1">
      <c r="A420" s="7"/>
    </row>
    <row r="421" ht="14.25" customHeight="1">
      <c r="A421" s="7"/>
    </row>
    <row r="422" ht="14.25" customHeight="1">
      <c r="A422" s="7"/>
    </row>
    <row r="423" ht="14.25" customHeight="1">
      <c r="A423" s="7"/>
    </row>
    <row r="424" ht="14.25" customHeight="1">
      <c r="A424" s="7"/>
    </row>
    <row r="425" ht="14.25" customHeight="1">
      <c r="A425" s="7"/>
    </row>
    <row r="426" ht="14.25" customHeight="1">
      <c r="A426" s="7"/>
    </row>
    <row r="427" ht="14.25" customHeight="1">
      <c r="A427" s="7"/>
    </row>
    <row r="428" ht="14.25" customHeight="1">
      <c r="A428" s="7"/>
    </row>
    <row r="429" ht="14.25" customHeight="1">
      <c r="A429" s="7"/>
    </row>
    <row r="430" ht="14.25" customHeight="1">
      <c r="A430" s="7"/>
    </row>
    <row r="431" ht="14.25" customHeight="1">
      <c r="A431" s="7"/>
    </row>
    <row r="432" ht="14.25" customHeight="1">
      <c r="A432" s="7"/>
    </row>
    <row r="433" ht="14.25" customHeight="1">
      <c r="A433" s="7"/>
    </row>
    <row r="434" ht="14.25" customHeight="1">
      <c r="A434" s="7"/>
    </row>
    <row r="435" ht="14.25" customHeight="1">
      <c r="A435" s="7"/>
    </row>
    <row r="436" ht="14.25" customHeight="1">
      <c r="A436" s="7"/>
    </row>
    <row r="437" ht="14.25" customHeight="1">
      <c r="A437" s="7"/>
    </row>
    <row r="438" ht="14.25" customHeight="1">
      <c r="A438" s="7"/>
    </row>
    <row r="439" ht="14.25" customHeight="1">
      <c r="A439" s="7"/>
    </row>
    <row r="440" ht="14.25" customHeight="1">
      <c r="A440" s="7"/>
    </row>
    <row r="441" ht="14.25" customHeight="1">
      <c r="A441" s="7"/>
    </row>
    <row r="442" ht="14.25" customHeight="1">
      <c r="A442" s="7"/>
    </row>
    <row r="443" ht="14.25" customHeight="1">
      <c r="A443" s="7"/>
    </row>
    <row r="444" ht="14.25" customHeight="1">
      <c r="A444" s="7"/>
    </row>
    <row r="445" ht="14.25" customHeight="1">
      <c r="A445" s="7"/>
    </row>
    <row r="446" ht="14.25" customHeight="1">
      <c r="A446" s="7"/>
    </row>
    <row r="447" ht="14.25" customHeight="1">
      <c r="A447" s="7"/>
    </row>
    <row r="448" ht="14.25" customHeight="1">
      <c r="A448" s="7"/>
    </row>
    <row r="449" ht="14.25" customHeight="1">
      <c r="A449" s="7"/>
    </row>
    <row r="450" ht="14.25" customHeight="1">
      <c r="A450" s="7"/>
    </row>
    <row r="451" ht="14.25" customHeight="1">
      <c r="A451" s="7"/>
    </row>
    <row r="452" ht="14.25" customHeight="1">
      <c r="A452" s="7"/>
    </row>
    <row r="453" ht="14.25" customHeight="1">
      <c r="A453" s="7"/>
    </row>
    <row r="454" ht="14.25" customHeight="1">
      <c r="A454" s="7"/>
    </row>
    <row r="455" ht="14.25" customHeight="1">
      <c r="A455" s="7"/>
    </row>
    <row r="456" ht="14.25" customHeight="1">
      <c r="A456" s="7"/>
    </row>
    <row r="457" ht="14.25" customHeight="1">
      <c r="A457" s="7"/>
    </row>
    <row r="458" ht="14.25" customHeight="1">
      <c r="A458" s="7"/>
    </row>
    <row r="459" ht="14.25" customHeight="1">
      <c r="A459" s="7"/>
    </row>
    <row r="460" ht="14.25" customHeight="1">
      <c r="A460" s="7"/>
    </row>
    <row r="461" ht="14.25" customHeight="1">
      <c r="A461" s="7"/>
    </row>
    <row r="462" ht="14.25" customHeight="1">
      <c r="A462" s="7"/>
    </row>
    <row r="463" ht="14.25" customHeight="1">
      <c r="A463" s="7"/>
    </row>
    <row r="464" ht="14.25" customHeight="1">
      <c r="A464" s="7"/>
    </row>
    <row r="465" ht="14.25" customHeight="1">
      <c r="A465" s="7"/>
    </row>
    <row r="466" ht="14.25" customHeight="1">
      <c r="A466" s="7"/>
    </row>
    <row r="467" ht="14.25" customHeight="1">
      <c r="A467" s="7"/>
    </row>
    <row r="468" ht="14.25" customHeight="1">
      <c r="A468" s="7"/>
    </row>
    <row r="469" ht="14.25" customHeight="1">
      <c r="A469" s="7"/>
    </row>
    <row r="470" ht="14.25" customHeight="1">
      <c r="A470" s="7"/>
    </row>
    <row r="471" ht="14.25" customHeight="1">
      <c r="A471" s="7"/>
    </row>
    <row r="472" ht="14.25" customHeight="1">
      <c r="A472" s="7"/>
    </row>
    <row r="473" ht="14.25" customHeight="1">
      <c r="A473" s="7"/>
    </row>
    <row r="474" ht="14.25" customHeight="1">
      <c r="A474" s="7"/>
    </row>
    <row r="475" ht="14.25" customHeight="1">
      <c r="A475" s="7"/>
    </row>
    <row r="476" ht="14.25" customHeight="1">
      <c r="A476" s="7"/>
    </row>
    <row r="477" ht="14.25" customHeight="1">
      <c r="A477" s="7"/>
    </row>
    <row r="478" ht="14.25" customHeight="1">
      <c r="A478" s="7"/>
    </row>
    <row r="479" ht="14.25" customHeight="1">
      <c r="A479" s="7"/>
    </row>
    <row r="480" ht="14.25" customHeight="1">
      <c r="A480" s="7"/>
    </row>
    <row r="481" ht="14.25" customHeight="1">
      <c r="A481" s="7"/>
    </row>
    <row r="482" ht="14.25" customHeight="1">
      <c r="A482" s="7"/>
    </row>
    <row r="483" ht="14.25" customHeight="1">
      <c r="A483" s="7"/>
    </row>
    <row r="484" ht="14.25" customHeight="1">
      <c r="A484" s="7"/>
    </row>
    <row r="485" ht="14.25" customHeight="1">
      <c r="A485" s="7"/>
    </row>
    <row r="486" ht="14.25" customHeight="1">
      <c r="A486" s="7"/>
    </row>
    <row r="487" ht="14.25" customHeight="1">
      <c r="A487" s="7"/>
    </row>
    <row r="488" ht="14.25" customHeight="1">
      <c r="A488" s="7"/>
    </row>
    <row r="489" ht="14.25" customHeight="1">
      <c r="A489" s="7"/>
    </row>
    <row r="490" ht="14.25" customHeight="1">
      <c r="A490" s="7"/>
    </row>
    <row r="491" ht="14.25" customHeight="1">
      <c r="A491" s="7"/>
    </row>
    <row r="492" ht="14.25" customHeight="1">
      <c r="A492" s="7"/>
    </row>
    <row r="493" ht="14.25" customHeight="1">
      <c r="A493" s="7"/>
    </row>
    <row r="494" ht="14.25" customHeight="1">
      <c r="A494" s="7"/>
    </row>
    <row r="495" ht="14.25" customHeight="1">
      <c r="A495" s="7"/>
    </row>
    <row r="496" ht="14.25" customHeight="1">
      <c r="A496" s="7"/>
    </row>
    <row r="497" ht="14.25" customHeight="1">
      <c r="A497" s="7"/>
    </row>
    <row r="498" ht="14.25" customHeight="1">
      <c r="A498" s="7"/>
    </row>
    <row r="499" ht="14.25" customHeight="1">
      <c r="A499" s="7"/>
    </row>
    <row r="500" ht="14.25" customHeight="1">
      <c r="A500" s="7"/>
    </row>
    <row r="501" ht="14.25" customHeight="1">
      <c r="A501" s="7"/>
    </row>
    <row r="502" ht="14.25" customHeight="1">
      <c r="A502" s="7"/>
    </row>
    <row r="503" ht="14.25" customHeight="1">
      <c r="A503" s="7"/>
    </row>
    <row r="504" ht="14.25" customHeight="1">
      <c r="A504" s="7"/>
    </row>
    <row r="505" ht="14.25" customHeight="1">
      <c r="A505" s="7"/>
    </row>
    <row r="506" ht="14.25" customHeight="1">
      <c r="A506" s="7"/>
    </row>
    <row r="507" ht="14.25" customHeight="1">
      <c r="A507" s="7"/>
    </row>
    <row r="508" ht="14.25" customHeight="1">
      <c r="A508" s="7"/>
    </row>
    <row r="509" ht="14.25" customHeight="1">
      <c r="A509" s="7"/>
    </row>
    <row r="510" ht="14.25" customHeight="1">
      <c r="A510" s="7"/>
    </row>
    <row r="511" ht="14.25" customHeight="1">
      <c r="A511" s="7"/>
    </row>
    <row r="512" ht="14.25" customHeight="1">
      <c r="A512" s="7"/>
    </row>
    <row r="513" ht="14.25" customHeight="1">
      <c r="A513" s="7"/>
    </row>
    <row r="514" ht="14.25" customHeight="1">
      <c r="A514" s="7"/>
    </row>
    <row r="515" ht="14.25" customHeight="1">
      <c r="A515" s="7"/>
    </row>
    <row r="516" ht="14.25" customHeight="1">
      <c r="A516" s="7"/>
    </row>
    <row r="517" ht="14.25" customHeight="1">
      <c r="A517" s="7"/>
    </row>
    <row r="518" ht="14.25" customHeight="1">
      <c r="A518" s="7"/>
    </row>
    <row r="519" ht="14.25" customHeight="1">
      <c r="A519" s="7"/>
    </row>
    <row r="520" ht="14.25" customHeight="1">
      <c r="A520" s="7"/>
    </row>
    <row r="521" ht="14.25" customHeight="1">
      <c r="A521" s="7"/>
    </row>
    <row r="522" ht="14.25" customHeight="1">
      <c r="A522" s="7"/>
    </row>
    <row r="523" ht="14.25" customHeight="1">
      <c r="A523" s="7"/>
    </row>
    <row r="524" ht="14.25" customHeight="1">
      <c r="A524" s="7"/>
    </row>
    <row r="525" ht="14.25" customHeight="1">
      <c r="A525" s="7"/>
    </row>
    <row r="526" ht="14.25" customHeight="1">
      <c r="A526" s="7"/>
    </row>
    <row r="527" ht="14.25" customHeight="1">
      <c r="A527" s="7"/>
    </row>
    <row r="528" ht="14.25" customHeight="1">
      <c r="A528" s="7"/>
    </row>
    <row r="529" ht="14.25" customHeight="1">
      <c r="A529" s="7"/>
    </row>
    <row r="530" ht="14.25" customHeight="1">
      <c r="A530" s="7"/>
    </row>
    <row r="531" ht="14.25" customHeight="1">
      <c r="A531" s="7"/>
    </row>
    <row r="532" ht="14.25" customHeight="1">
      <c r="A532" s="7"/>
    </row>
    <row r="533" ht="14.25" customHeight="1">
      <c r="A533" s="7"/>
    </row>
    <row r="534" ht="14.25" customHeight="1">
      <c r="A534" s="7"/>
    </row>
    <row r="535" ht="14.25" customHeight="1">
      <c r="A535" s="7"/>
    </row>
    <row r="536" ht="14.25" customHeight="1">
      <c r="A536" s="7"/>
    </row>
    <row r="537" ht="14.25" customHeight="1">
      <c r="A537" s="7"/>
    </row>
    <row r="538" ht="14.25" customHeight="1">
      <c r="A538" s="7"/>
    </row>
    <row r="539" ht="14.25" customHeight="1">
      <c r="A539" s="7"/>
    </row>
    <row r="540" ht="14.25" customHeight="1">
      <c r="A540" s="7"/>
    </row>
    <row r="541" ht="14.25" customHeight="1">
      <c r="A541" s="7"/>
    </row>
    <row r="542" ht="14.25" customHeight="1">
      <c r="A542" s="7"/>
    </row>
    <row r="543" ht="14.25" customHeight="1">
      <c r="A543" s="7"/>
    </row>
    <row r="544" ht="14.25" customHeight="1">
      <c r="A544" s="7"/>
    </row>
    <row r="545" ht="14.25" customHeight="1">
      <c r="A545" s="7"/>
    </row>
    <row r="546" ht="14.25" customHeight="1">
      <c r="A546" s="7"/>
    </row>
    <row r="547" ht="14.25" customHeight="1">
      <c r="A547" s="7"/>
    </row>
    <row r="548" ht="14.25" customHeight="1">
      <c r="A548" s="7"/>
    </row>
    <row r="549" ht="14.25" customHeight="1">
      <c r="A549" s="7"/>
    </row>
    <row r="550" ht="14.25" customHeight="1">
      <c r="A550" s="7"/>
    </row>
    <row r="551" ht="14.25" customHeight="1">
      <c r="A551" s="7"/>
    </row>
    <row r="552" ht="14.25" customHeight="1">
      <c r="A552" s="7"/>
    </row>
    <row r="553" ht="14.25" customHeight="1">
      <c r="A553" s="7"/>
    </row>
    <row r="554" ht="14.25" customHeight="1">
      <c r="A554" s="7"/>
    </row>
    <row r="555" ht="14.25" customHeight="1">
      <c r="A555" s="7"/>
    </row>
    <row r="556" ht="14.25" customHeight="1">
      <c r="A556" s="7"/>
    </row>
    <row r="557" ht="14.25" customHeight="1">
      <c r="A557" s="7"/>
    </row>
    <row r="558" ht="14.25" customHeight="1">
      <c r="A558" s="7"/>
    </row>
    <row r="559" ht="14.25" customHeight="1">
      <c r="A559" s="7"/>
    </row>
    <row r="560" ht="14.25" customHeight="1">
      <c r="A560" s="7"/>
    </row>
    <row r="561" ht="14.25" customHeight="1">
      <c r="A561" s="7"/>
    </row>
    <row r="562" ht="14.25" customHeight="1">
      <c r="A562" s="7"/>
    </row>
    <row r="563" ht="14.25" customHeight="1">
      <c r="A563" s="7"/>
    </row>
    <row r="564" ht="14.25" customHeight="1">
      <c r="A564" s="7"/>
    </row>
    <row r="565" ht="14.25" customHeight="1">
      <c r="A565" s="7"/>
    </row>
    <row r="566" ht="14.25" customHeight="1">
      <c r="A566" s="7"/>
    </row>
    <row r="567" ht="14.25" customHeight="1">
      <c r="A567" s="7"/>
    </row>
    <row r="568" ht="14.25" customHeight="1">
      <c r="A568" s="7"/>
    </row>
    <row r="569" ht="14.25" customHeight="1">
      <c r="A569" s="7"/>
    </row>
    <row r="570" ht="14.25" customHeight="1">
      <c r="A570" s="7"/>
    </row>
    <row r="571" ht="14.25" customHeight="1">
      <c r="A571" s="7"/>
    </row>
    <row r="572" ht="14.25" customHeight="1">
      <c r="A572" s="7"/>
    </row>
    <row r="573" ht="14.25" customHeight="1">
      <c r="A573" s="7"/>
    </row>
    <row r="574" ht="14.25" customHeight="1">
      <c r="A574" s="7"/>
    </row>
    <row r="575" ht="14.25" customHeight="1">
      <c r="A575" s="7"/>
    </row>
    <row r="576" ht="14.25" customHeight="1">
      <c r="A576" s="7"/>
    </row>
    <row r="577" ht="14.25" customHeight="1">
      <c r="A577" s="7"/>
    </row>
    <row r="578" ht="14.25" customHeight="1">
      <c r="A578" s="7"/>
    </row>
    <row r="579" ht="14.25" customHeight="1">
      <c r="A579" s="7"/>
    </row>
    <row r="580" ht="14.25" customHeight="1">
      <c r="A580" s="7"/>
    </row>
    <row r="581" ht="14.25" customHeight="1">
      <c r="A581" s="7"/>
    </row>
    <row r="582" ht="14.25" customHeight="1">
      <c r="A582" s="7"/>
    </row>
    <row r="583" ht="14.25" customHeight="1">
      <c r="A583" s="7"/>
    </row>
    <row r="584" ht="14.25" customHeight="1">
      <c r="A584" s="7"/>
    </row>
    <row r="585" ht="14.25" customHeight="1">
      <c r="A585" s="7"/>
    </row>
    <row r="586" ht="14.25" customHeight="1">
      <c r="A586" s="7"/>
    </row>
    <row r="587" ht="14.25" customHeight="1">
      <c r="A587" s="7"/>
    </row>
    <row r="588" ht="14.25" customHeight="1">
      <c r="A588" s="7"/>
    </row>
    <row r="589" ht="14.25" customHeight="1">
      <c r="A589" s="7"/>
    </row>
    <row r="590" ht="14.25" customHeight="1">
      <c r="A590" s="7"/>
    </row>
    <row r="591" ht="14.25" customHeight="1">
      <c r="A591" s="7"/>
    </row>
    <row r="592" ht="14.25" customHeight="1">
      <c r="A592" s="7"/>
    </row>
    <row r="593" ht="14.25" customHeight="1">
      <c r="A593" s="7"/>
    </row>
    <row r="594" ht="14.25" customHeight="1">
      <c r="A594" s="7"/>
    </row>
    <row r="595" ht="14.25" customHeight="1">
      <c r="A595" s="7"/>
    </row>
    <row r="596" ht="14.25" customHeight="1">
      <c r="A596" s="7"/>
    </row>
    <row r="597" ht="14.25" customHeight="1">
      <c r="A597" s="7"/>
    </row>
    <row r="598" ht="14.25" customHeight="1">
      <c r="A598" s="7"/>
    </row>
    <row r="599" ht="14.25" customHeight="1">
      <c r="A599" s="7"/>
    </row>
    <row r="600" ht="14.25" customHeight="1">
      <c r="A600" s="7"/>
    </row>
    <row r="601" ht="14.25" customHeight="1">
      <c r="A601" s="7"/>
    </row>
    <row r="602" ht="14.25" customHeight="1">
      <c r="A602" s="7"/>
    </row>
    <row r="603" ht="14.25" customHeight="1">
      <c r="A603" s="7"/>
    </row>
    <row r="604" ht="14.25" customHeight="1">
      <c r="A604" s="7"/>
    </row>
    <row r="605" ht="14.25" customHeight="1">
      <c r="A605" s="7"/>
    </row>
    <row r="606" ht="14.25" customHeight="1">
      <c r="A606" s="7"/>
    </row>
    <row r="607" ht="14.25" customHeight="1">
      <c r="A607" s="7"/>
    </row>
    <row r="608" ht="14.25" customHeight="1">
      <c r="A608" s="7"/>
    </row>
    <row r="609" ht="14.25" customHeight="1">
      <c r="A609" s="7"/>
    </row>
    <row r="610" ht="14.25" customHeight="1">
      <c r="A610" s="7"/>
    </row>
    <row r="611" ht="14.25" customHeight="1">
      <c r="A611" s="7"/>
    </row>
    <row r="612" ht="14.25" customHeight="1">
      <c r="A612" s="7"/>
    </row>
    <row r="613" ht="14.25" customHeight="1">
      <c r="A613" s="7"/>
    </row>
    <row r="614" ht="14.25" customHeight="1">
      <c r="A614" s="7"/>
    </row>
    <row r="615" ht="14.25" customHeight="1">
      <c r="A615" s="7"/>
    </row>
    <row r="616" ht="14.25" customHeight="1">
      <c r="A616" s="7"/>
    </row>
    <row r="617" ht="14.25" customHeight="1">
      <c r="A617" s="7"/>
    </row>
    <row r="618" ht="14.25" customHeight="1">
      <c r="A618" s="7"/>
    </row>
    <row r="619" ht="14.25" customHeight="1">
      <c r="A619" s="7"/>
    </row>
    <row r="620" ht="14.25" customHeight="1">
      <c r="A620" s="7"/>
    </row>
    <row r="621" ht="14.25" customHeight="1">
      <c r="A621" s="7"/>
    </row>
    <row r="622" ht="14.25" customHeight="1">
      <c r="A622" s="7"/>
    </row>
    <row r="623" ht="14.25" customHeight="1">
      <c r="A623" s="7"/>
    </row>
    <row r="624" ht="14.25" customHeight="1">
      <c r="A624" s="7"/>
    </row>
    <row r="625" ht="14.25" customHeight="1">
      <c r="A625" s="7"/>
    </row>
    <row r="626" ht="14.25" customHeight="1">
      <c r="A626" s="7"/>
    </row>
    <row r="627" ht="14.25" customHeight="1">
      <c r="A627" s="7"/>
    </row>
    <row r="628" ht="14.25" customHeight="1">
      <c r="A628" s="7"/>
    </row>
    <row r="629" ht="14.25" customHeight="1">
      <c r="A629" s="7"/>
    </row>
    <row r="630" ht="14.25" customHeight="1">
      <c r="A630" s="7"/>
    </row>
    <row r="631" ht="14.25" customHeight="1">
      <c r="A631" s="7"/>
    </row>
    <row r="632" ht="14.25" customHeight="1">
      <c r="A632" s="7"/>
    </row>
    <row r="633" ht="14.25" customHeight="1">
      <c r="A633" s="7"/>
    </row>
    <row r="634" ht="14.25" customHeight="1">
      <c r="A634" s="7"/>
    </row>
    <row r="635" ht="14.25" customHeight="1">
      <c r="A635" s="7"/>
    </row>
    <row r="636" ht="14.25" customHeight="1">
      <c r="A636" s="7"/>
    </row>
    <row r="637" ht="14.25" customHeight="1">
      <c r="A637" s="7"/>
    </row>
    <row r="638" ht="14.25" customHeight="1">
      <c r="A638" s="7"/>
    </row>
    <row r="639" ht="14.25" customHeight="1">
      <c r="A639" s="7"/>
    </row>
    <row r="640" ht="14.25" customHeight="1">
      <c r="A640" s="7"/>
    </row>
    <row r="641" ht="14.25" customHeight="1">
      <c r="A641" s="7"/>
    </row>
    <row r="642" ht="14.25" customHeight="1">
      <c r="A642" s="7"/>
    </row>
    <row r="643" ht="14.25" customHeight="1">
      <c r="A643" s="7"/>
    </row>
    <row r="644" ht="14.25" customHeight="1">
      <c r="A644" s="7"/>
    </row>
    <row r="645" ht="14.25" customHeight="1">
      <c r="A645" s="7"/>
    </row>
    <row r="646" ht="14.25" customHeight="1">
      <c r="A646" s="7"/>
    </row>
    <row r="647" ht="14.25" customHeight="1">
      <c r="A647" s="7"/>
    </row>
    <row r="648" ht="14.25" customHeight="1">
      <c r="A648" s="7"/>
    </row>
    <row r="649" ht="14.25" customHeight="1">
      <c r="A649" s="7"/>
    </row>
    <row r="650" ht="14.25" customHeight="1">
      <c r="A650" s="7"/>
    </row>
    <row r="651" ht="14.25" customHeight="1">
      <c r="A651" s="7"/>
    </row>
    <row r="652" ht="14.25" customHeight="1">
      <c r="A652" s="7"/>
    </row>
    <row r="653" ht="14.25" customHeight="1">
      <c r="A653" s="7"/>
    </row>
    <row r="654" ht="14.25" customHeight="1">
      <c r="A654" s="7"/>
    </row>
    <row r="655" ht="14.25" customHeight="1">
      <c r="A655" s="7"/>
    </row>
    <row r="656" ht="14.25" customHeight="1">
      <c r="A656" s="7"/>
    </row>
    <row r="657" ht="14.25" customHeight="1">
      <c r="A657" s="7"/>
    </row>
    <row r="658" ht="14.25" customHeight="1">
      <c r="A658" s="7"/>
    </row>
    <row r="659" ht="14.25" customHeight="1">
      <c r="A659" s="7"/>
    </row>
    <row r="660" ht="14.25" customHeight="1">
      <c r="A660" s="7"/>
    </row>
    <row r="661" ht="14.25" customHeight="1">
      <c r="A661" s="7"/>
    </row>
    <row r="662" ht="14.25" customHeight="1">
      <c r="A662" s="7"/>
    </row>
    <row r="663" ht="14.25" customHeight="1">
      <c r="A663" s="7"/>
    </row>
    <row r="664" ht="14.25" customHeight="1">
      <c r="A664" s="7"/>
    </row>
    <row r="665" ht="14.25" customHeight="1">
      <c r="A665" s="7"/>
    </row>
    <row r="666" ht="14.25" customHeight="1">
      <c r="A666" s="7"/>
    </row>
    <row r="667" ht="14.25" customHeight="1">
      <c r="A667" s="7"/>
    </row>
    <row r="668" ht="14.25" customHeight="1">
      <c r="A668" s="7"/>
    </row>
    <row r="669" ht="14.25" customHeight="1">
      <c r="A669" s="7"/>
    </row>
    <row r="670" ht="14.25" customHeight="1">
      <c r="A670" s="7"/>
    </row>
    <row r="671" ht="14.25" customHeight="1">
      <c r="A671" s="7"/>
    </row>
    <row r="672" ht="14.25" customHeight="1">
      <c r="A672" s="7"/>
    </row>
    <row r="673" ht="14.25" customHeight="1">
      <c r="A673" s="7"/>
    </row>
    <row r="674" ht="14.25" customHeight="1">
      <c r="A674" s="7"/>
    </row>
    <row r="675" ht="14.25" customHeight="1">
      <c r="A675" s="7"/>
    </row>
    <row r="676" ht="14.25" customHeight="1">
      <c r="A676" s="7"/>
    </row>
    <row r="677" ht="14.25" customHeight="1">
      <c r="A677" s="7"/>
    </row>
    <row r="678" ht="14.25" customHeight="1">
      <c r="A678" s="7"/>
    </row>
    <row r="679" ht="14.25" customHeight="1">
      <c r="A679" s="7"/>
    </row>
    <row r="680" ht="14.25" customHeight="1">
      <c r="A680" s="7"/>
    </row>
    <row r="681" ht="14.25" customHeight="1">
      <c r="A681" s="7"/>
    </row>
    <row r="682" ht="14.25" customHeight="1">
      <c r="A682" s="7"/>
    </row>
    <row r="683" ht="14.25" customHeight="1">
      <c r="A683" s="7"/>
    </row>
    <row r="684" ht="14.25" customHeight="1">
      <c r="A684" s="7"/>
    </row>
    <row r="685" ht="14.25" customHeight="1">
      <c r="A685" s="7"/>
    </row>
    <row r="686" ht="14.25" customHeight="1">
      <c r="A686" s="7"/>
    </row>
    <row r="687" ht="14.25" customHeight="1">
      <c r="A687" s="7"/>
    </row>
    <row r="688" ht="14.25" customHeight="1">
      <c r="A688" s="7"/>
    </row>
    <row r="689" ht="14.25" customHeight="1">
      <c r="A689" s="7"/>
    </row>
    <row r="690" ht="14.25" customHeight="1">
      <c r="A690" s="7"/>
    </row>
    <row r="691" ht="14.25" customHeight="1">
      <c r="A691" s="7"/>
    </row>
    <row r="692" ht="14.25" customHeight="1">
      <c r="A692" s="7"/>
    </row>
    <row r="693" ht="14.25" customHeight="1">
      <c r="A693" s="7"/>
    </row>
    <row r="694" ht="14.25" customHeight="1">
      <c r="A694" s="7"/>
    </row>
    <row r="695" ht="14.25" customHeight="1">
      <c r="A695" s="7"/>
    </row>
    <row r="696" ht="14.25" customHeight="1">
      <c r="A696" s="7"/>
    </row>
    <row r="697" ht="14.25" customHeight="1">
      <c r="A697" s="7"/>
    </row>
    <row r="698" ht="14.25" customHeight="1">
      <c r="A698" s="7"/>
    </row>
    <row r="699" ht="14.25" customHeight="1">
      <c r="A699" s="7"/>
    </row>
    <row r="700" ht="14.25" customHeight="1">
      <c r="A700" s="7"/>
    </row>
    <row r="701" ht="14.25" customHeight="1">
      <c r="A701" s="7"/>
    </row>
    <row r="702" ht="14.25" customHeight="1">
      <c r="A702" s="7"/>
    </row>
    <row r="703" ht="14.25" customHeight="1">
      <c r="A703" s="7"/>
    </row>
    <row r="704" ht="14.25" customHeight="1">
      <c r="A704" s="7"/>
    </row>
    <row r="705" ht="14.25" customHeight="1">
      <c r="A705" s="7"/>
    </row>
    <row r="706" ht="14.25" customHeight="1">
      <c r="A706" s="7"/>
    </row>
    <row r="707" ht="14.25" customHeight="1">
      <c r="A707" s="7"/>
    </row>
    <row r="708" ht="14.25" customHeight="1">
      <c r="A708" s="7"/>
    </row>
    <row r="709" ht="14.25" customHeight="1">
      <c r="A709" s="7"/>
    </row>
    <row r="710" ht="14.25" customHeight="1">
      <c r="A710" s="7"/>
    </row>
    <row r="711" ht="14.25" customHeight="1">
      <c r="A711" s="7"/>
    </row>
    <row r="712" ht="14.25" customHeight="1">
      <c r="A712" s="7"/>
    </row>
    <row r="713" ht="14.25" customHeight="1">
      <c r="A713" s="7"/>
    </row>
    <row r="714" ht="14.25" customHeight="1">
      <c r="A714" s="7"/>
    </row>
    <row r="715" ht="14.25" customHeight="1">
      <c r="A715" s="7"/>
    </row>
    <row r="716" ht="14.25" customHeight="1">
      <c r="A716" s="7"/>
    </row>
    <row r="717" ht="14.25" customHeight="1">
      <c r="A717" s="7"/>
    </row>
    <row r="718" ht="14.25" customHeight="1">
      <c r="A718" s="7"/>
    </row>
    <row r="719" ht="14.25" customHeight="1">
      <c r="A719" s="7"/>
    </row>
    <row r="720" ht="14.25" customHeight="1">
      <c r="A720" s="7"/>
    </row>
    <row r="721" ht="14.25" customHeight="1">
      <c r="A721" s="7"/>
    </row>
    <row r="722" ht="14.25" customHeight="1">
      <c r="A722" s="7"/>
    </row>
    <row r="723" ht="14.25" customHeight="1">
      <c r="A723" s="7"/>
    </row>
    <row r="724" ht="14.25" customHeight="1">
      <c r="A724" s="7"/>
    </row>
    <row r="725" ht="14.25" customHeight="1">
      <c r="A725" s="7"/>
    </row>
    <row r="726" ht="14.25" customHeight="1">
      <c r="A726" s="7"/>
    </row>
    <row r="727" ht="14.25" customHeight="1">
      <c r="A727" s="7"/>
    </row>
    <row r="728" ht="14.25" customHeight="1">
      <c r="A728" s="7"/>
    </row>
    <row r="729" ht="14.25" customHeight="1">
      <c r="A729" s="7"/>
    </row>
    <row r="730" ht="14.25" customHeight="1">
      <c r="A730" s="7"/>
    </row>
    <row r="731" ht="14.25" customHeight="1">
      <c r="A731" s="7"/>
    </row>
    <row r="732" ht="14.25" customHeight="1">
      <c r="A732" s="7"/>
    </row>
    <row r="733" ht="14.25" customHeight="1">
      <c r="A733" s="7"/>
    </row>
    <row r="734" ht="14.25" customHeight="1">
      <c r="A734" s="7"/>
    </row>
    <row r="735" ht="14.25" customHeight="1">
      <c r="A735" s="7"/>
    </row>
    <row r="736" ht="14.25" customHeight="1">
      <c r="A736" s="7"/>
    </row>
    <row r="737" ht="14.25" customHeight="1">
      <c r="A737" s="7"/>
    </row>
    <row r="738" ht="14.25" customHeight="1">
      <c r="A738" s="7"/>
    </row>
    <row r="739" ht="14.25" customHeight="1">
      <c r="A739" s="7"/>
    </row>
    <row r="740" ht="14.25" customHeight="1">
      <c r="A740" s="7"/>
    </row>
    <row r="741" ht="14.25" customHeight="1">
      <c r="A741" s="7"/>
    </row>
    <row r="742" ht="14.25" customHeight="1">
      <c r="A742" s="7"/>
    </row>
    <row r="743" ht="14.25" customHeight="1">
      <c r="A743" s="7"/>
    </row>
    <row r="744" ht="14.25" customHeight="1">
      <c r="A744" s="7"/>
    </row>
    <row r="745" ht="14.25" customHeight="1">
      <c r="A745" s="7"/>
    </row>
    <row r="746" ht="14.25" customHeight="1">
      <c r="A746" s="7"/>
    </row>
    <row r="747" ht="14.25" customHeight="1">
      <c r="A747" s="7"/>
    </row>
    <row r="748" ht="14.25" customHeight="1">
      <c r="A748" s="7"/>
    </row>
    <row r="749" ht="14.25" customHeight="1">
      <c r="A749" s="7"/>
    </row>
    <row r="750" ht="14.25" customHeight="1">
      <c r="A750" s="7"/>
    </row>
    <row r="751" ht="14.25" customHeight="1">
      <c r="A751" s="7"/>
    </row>
    <row r="752" ht="14.25" customHeight="1">
      <c r="A752" s="7"/>
    </row>
    <row r="753" ht="14.25" customHeight="1">
      <c r="A753" s="7"/>
    </row>
    <row r="754" ht="14.25" customHeight="1">
      <c r="A754" s="7"/>
    </row>
    <row r="755" ht="14.25" customHeight="1">
      <c r="A755" s="7"/>
    </row>
    <row r="756" ht="14.25" customHeight="1">
      <c r="A756" s="7"/>
    </row>
    <row r="757" ht="14.25" customHeight="1">
      <c r="A757" s="7"/>
    </row>
    <row r="758" ht="14.25" customHeight="1">
      <c r="A758" s="7"/>
    </row>
    <row r="759" ht="14.25" customHeight="1">
      <c r="A759" s="7"/>
    </row>
    <row r="760" ht="14.25" customHeight="1">
      <c r="A760" s="7"/>
    </row>
    <row r="761" ht="14.25" customHeight="1">
      <c r="A761" s="7"/>
    </row>
    <row r="762" ht="14.25" customHeight="1">
      <c r="A762" s="7"/>
    </row>
    <row r="763" ht="14.25" customHeight="1">
      <c r="A763" s="7"/>
    </row>
    <row r="764" ht="14.25" customHeight="1">
      <c r="A764" s="7"/>
    </row>
    <row r="765" ht="14.25" customHeight="1">
      <c r="A765" s="7"/>
    </row>
    <row r="766" ht="14.25" customHeight="1">
      <c r="A766" s="7"/>
    </row>
    <row r="767" ht="14.25" customHeight="1">
      <c r="A767" s="7"/>
    </row>
    <row r="768" ht="14.25" customHeight="1">
      <c r="A768" s="7"/>
    </row>
    <row r="769" ht="14.25" customHeight="1">
      <c r="A769" s="7"/>
    </row>
    <row r="770" ht="14.25" customHeight="1">
      <c r="A770" s="7"/>
    </row>
    <row r="771" ht="14.25" customHeight="1">
      <c r="A771" s="7"/>
    </row>
    <row r="772" ht="14.25" customHeight="1">
      <c r="A772" s="7"/>
    </row>
    <row r="773" ht="14.25" customHeight="1">
      <c r="A773" s="7"/>
    </row>
    <row r="774" ht="14.25" customHeight="1">
      <c r="A774" s="7"/>
    </row>
    <row r="775" ht="14.25" customHeight="1">
      <c r="A775" s="7"/>
    </row>
    <row r="776" ht="14.25" customHeight="1">
      <c r="A776" s="7"/>
    </row>
    <row r="777" ht="14.25" customHeight="1">
      <c r="A777" s="7"/>
    </row>
    <row r="778" ht="14.25" customHeight="1">
      <c r="A778" s="7"/>
    </row>
    <row r="779" ht="14.25" customHeight="1">
      <c r="A779" s="7"/>
    </row>
    <row r="780" ht="14.25" customHeight="1">
      <c r="A780" s="7"/>
    </row>
    <row r="781" ht="14.25" customHeight="1">
      <c r="A781" s="7"/>
    </row>
    <row r="782" ht="14.25" customHeight="1">
      <c r="A782" s="7"/>
    </row>
    <row r="783" ht="14.25" customHeight="1">
      <c r="A783" s="7"/>
    </row>
    <row r="784" ht="14.25" customHeight="1">
      <c r="A784" s="7"/>
    </row>
    <row r="785" ht="14.25" customHeight="1">
      <c r="A785" s="7"/>
    </row>
    <row r="786" ht="14.25" customHeight="1">
      <c r="A786" s="7"/>
    </row>
    <row r="787" ht="14.25" customHeight="1">
      <c r="A787" s="7"/>
    </row>
    <row r="788" ht="14.25" customHeight="1">
      <c r="A788" s="7"/>
    </row>
    <row r="789" ht="14.25" customHeight="1">
      <c r="A789" s="7"/>
    </row>
    <row r="790" ht="14.25" customHeight="1">
      <c r="A790" s="7"/>
    </row>
    <row r="791" ht="14.25" customHeight="1">
      <c r="A791" s="7"/>
    </row>
    <row r="792" ht="14.25" customHeight="1">
      <c r="A792" s="7"/>
    </row>
    <row r="793" ht="14.25" customHeight="1">
      <c r="A793" s="7"/>
    </row>
    <row r="794" ht="14.25" customHeight="1">
      <c r="A794" s="7"/>
    </row>
    <row r="795" ht="14.25" customHeight="1">
      <c r="A795" s="7"/>
    </row>
    <row r="796" ht="14.25" customHeight="1">
      <c r="A796" s="7"/>
    </row>
    <row r="797" ht="14.25" customHeight="1">
      <c r="A797" s="7"/>
    </row>
    <row r="798" ht="14.25" customHeight="1">
      <c r="A798" s="7"/>
    </row>
    <row r="799" ht="14.25" customHeight="1">
      <c r="A799" s="7"/>
    </row>
    <row r="800" ht="14.25" customHeight="1">
      <c r="A800" s="7"/>
    </row>
    <row r="801" ht="14.25" customHeight="1">
      <c r="A801" s="7"/>
    </row>
    <row r="802" ht="14.25" customHeight="1">
      <c r="A802" s="7"/>
    </row>
    <row r="803" ht="14.25" customHeight="1">
      <c r="A803" s="7"/>
    </row>
    <row r="804" ht="14.25" customHeight="1">
      <c r="A804" s="7"/>
    </row>
    <row r="805" ht="14.25" customHeight="1">
      <c r="A805" s="7"/>
    </row>
    <row r="806" ht="14.25" customHeight="1">
      <c r="A806" s="7"/>
    </row>
    <row r="807" ht="14.25" customHeight="1">
      <c r="A807" s="7"/>
    </row>
    <row r="808" ht="14.25" customHeight="1">
      <c r="A808" s="7"/>
    </row>
    <row r="809" ht="14.25" customHeight="1">
      <c r="A809" s="7"/>
    </row>
    <row r="810" ht="14.25" customHeight="1">
      <c r="A810" s="7"/>
    </row>
    <row r="811" ht="14.25" customHeight="1">
      <c r="A811" s="7"/>
    </row>
    <row r="812" ht="14.25" customHeight="1">
      <c r="A812" s="7"/>
    </row>
    <row r="813" ht="14.25" customHeight="1">
      <c r="A813" s="7"/>
    </row>
    <row r="814" ht="14.25" customHeight="1">
      <c r="A814" s="7"/>
    </row>
    <row r="815" ht="14.25" customHeight="1">
      <c r="A815" s="7"/>
    </row>
    <row r="816" ht="14.25" customHeight="1">
      <c r="A816" s="7"/>
    </row>
    <row r="817" ht="14.25" customHeight="1">
      <c r="A817" s="7"/>
    </row>
    <row r="818" ht="14.25" customHeight="1">
      <c r="A818" s="7"/>
    </row>
    <row r="819" ht="14.25" customHeight="1">
      <c r="A819" s="7"/>
    </row>
    <row r="820" ht="14.25" customHeight="1">
      <c r="A820" s="7"/>
    </row>
    <row r="821" ht="14.25" customHeight="1">
      <c r="A821" s="7"/>
    </row>
    <row r="822" ht="14.25" customHeight="1">
      <c r="A822" s="7"/>
    </row>
    <row r="823" ht="14.25" customHeight="1">
      <c r="A823" s="7"/>
    </row>
    <row r="824" ht="14.25" customHeight="1">
      <c r="A824" s="7"/>
    </row>
    <row r="825" ht="14.25" customHeight="1">
      <c r="A825" s="7"/>
    </row>
    <row r="826" ht="14.25" customHeight="1">
      <c r="A826" s="7"/>
    </row>
    <row r="827" ht="14.25" customHeight="1">
      <c r="A827" s="7"/>
    </row>
    <row r="828" ht="14.25" customHeight="1">
      <c r="A828" s="7"/>
    </row>
    <row r="829" ht="14.25" customHeight="1">
      <c r="A829" s="7"/>
    </row>
    <row r="830" ht="14.25" customHeight="1">
      <c r="A830" s="7"/>
    </row>
    <row r="831" ht="14.25" customHeight="1">
      <c r="A831" s="7"/>
    </row>
    <row r="832" ht="14.25" customHeight="1">
      <c r="A832" s="7"/>
    </row>
    <row r="833" ht="14.25" customHeight="1">
      <c r="A833" s="7"/>
    </row>
    <row r="834" ht="14.25" customHeight="1">
      <c r="A834" s="7"/>
    </row>
    <row r="835" ht="14.25" customHeight="1">
      <c r="A835" s="7"/>
    </row>
    <row r="836" ht="14.25" customHeight="1">
      <c r="A836" s="7"/>
    </row>
    <row r="837" ht="14.25" customHeight="1">
      <c r="A837" s="7"/>
    </row>
    <row r="838" ht="14.25" customHeight="1">
      <c r="A838" s="7"/>
    </row>
    <row r="839" ht="14.25" customHeight="1">
      <c r="A839" s="7"/>
    </row>
    <row r="840" ht="14.25" customHeight="1">
      <c r="A840" s="7"/>
    </row>
    <row r="841" ht="14.25" customHeight="1">
      <c r="A841" s="7"/>
    </row>
    <row r="842" ht="14.25" customHeight="1">
      <c r="A842" s="7"/>
    </row>
    <row r="843" ht="14.25" customHeight="1">
      <c r="A843" s="7"/>
    </row>
    <row r="844" ht="14.25" customHeight="1">
      <c r="A844" s="7"/>
    </row>
    <row r="845" ht="14.25" customHeight="1">
      <c r="A845" s="7"/>
    </row>
    <row r="846" ht="14.25" customHeight="1">
      <c r="A846" s="7"/>
    </row>
    <row r="847" ht="14.25" customHeight="1">
      <c r="A847" s="7"/>
    </row>
    <row r="848" ht="14.25" customHeight="1">
      <c r="A848" s="7"/>
    </row>
    <row r="849" ht="14.25" customHeight="1">
      <c r="A849" s="7"/>
    </row>
    <row r="850" ht="14.25" customHeight="1">
      <c r="A850" s="7"/>
    </row>
    <row r="851" ht="14.25" customHeight="1">
      <c r="A851" s="7"/>
    </row>
    <row r="852" ht="14.25" customHeight="1">
      <c r="A852" s="7"/>
    </row>
    <row r="853" ht="14.25" customHeight="1">
      <c r="A853" s="7"/>
    </row>
    <row r="854" ht="14.25" customHeight="1">
      <c r="A854" s="7"/>
    </row>
    <row r="855" ht="14.25" customHeight="1">
      <c r="A855" s="7"/>
    </row>
    <row r="856" ht="14.25" customHeight="1">
      <c r="A856" s="7"/>
    </row>
    <row r="857" ht="14.25" customHeight="1">
      <c r="A857" s="7"/>
    </row>
    <row r="858" ht="14.25" customHeight="1">
      <c r="A858" s="7"/>
    </row>
    <row r="859" ht="14.25" customHeight="1">
      <c r="A859" s="7"/>
    </row>
    <row r="860" ht="14.25" customHeight="1">
      <c r="A860" s="7"/>
    </row>
    <row r="861" ht="14.25" customHeight="1">
      <c r="A861" s="7"/>
    </row>
    <row r="862" ht="14.25" customHeight="1">
      <c r="A862" s="7"/>
    </row>
    <row r="863" ht="14.25" customHeight="1">
      <c r="A863" s="7"/>
    </row>
    <row r="864" ht="14.25" customHeight="1">
      <c r="A864" s="7"/>
    </row>
    <row r="865" ht="14.25" customHeight="1">
      <c r="A865" s="7"/>
    </row>
    <row r="866" ht="14.25" customHeight="1">
      <c r="A866" s="7"/>
    </row>
    <row r="867" ht="14.25" customHeight="1">
      <c r="A867" s="7"/>
    </row>
    <row r="868" ht="14.25" customHeight="1">
      <c r="A868" s="7"/>
    </row>
    <row r="869" ht="14.25" customHeight="1">
      <c r="A869" s="7"/>
    </row>
    <row r="870" ht="14.25" customHeight="1">
      <c r="A870" s="7"/>
    </row>
    <row r="871" ht="14.25" customHeight="1">
      <c r="A871" s="7"/>
    </row>
    <row r="872" ht="14.25" customHeight="1">
      <c r="A872" s="7"/>
    </row>
    <row r="873" ht="14.25" customHeight="1">
      <c r="A873" s="7"/>
    </row>
    <row r="874" ht="14.25" customHeight="1">
      <c r="A874" s="7"/>
    </row>
    <row r="875" ht="14.25" customHeight="1">
      <c r="A875" s="7"/>
    </row>
    <row r="876" ht="14.25" customHeight="1">
      <c r="A876" s="7"/>
    </row>
    <row r="877" ht="14.25" customHeight="1">
      <c r="A877" s="7"/>
    </row>
    <row r="878" ht="14.25" customHeight="1">
      <c r="A878" s="7"/>
    </row>
    <row r="879" ht="14.25" customHeight="1">
      <c r="A879" s="7"/>
    </row>
    <row r="880" ht="14.25" customHeight="1">
      <c r="A880" s="7"/>
    </row>
    <row r="881" ht="14.25" customHeight="1">
      <c r="A881" s="7"/>
    </row>
    <row r="882" ht="14.25" customHeight="1">
      <c r="A882" s="7"/>
    </row>
    <row r="883" ht="14.25" customHeight="1">
      <c r="A883" s="7"/>
    </row>
    <row r="884" ht="14.25" customHeight="1">
      <c r="A884" s="7"/>
    </row>
    <row r="885" ht="14.25" customHeight="1">
      <c r="A885" s="7"/>
    </row>
    <row r="886" ht="14.25" customHeight="1">
      <c r="A886" s="7"/>
    </row>
    <row r="887" ht="14.25" customHeight="1">
      <c r="A887" s="7"/>
    </row>
    <row r="888" ht="14.25" customHeight="1">
      <c r="A888" s="7"/>
    </row>
    <row r="889" ht="14.25" customHeight="1">
      <c r="A889" s="7"/>
    </row>
    <row r="890" ht="14.25" customHeight="1">
      <c r="A890" s="7"/>
    </row>
    <row r="891" ht="14.25" customHeight="1">
      <c r="A891" s="7"/>
    </row>
    <row r="892" ht="14.25" customHeight="1">
      <c r="A892" s="7"/>
    </row>
    <row r="893" ht="14.25" customHeight="1">
      <c r="A893" s="7"/>
    </row>
    <row r="894" ht="14.25" customHeight="1">
      <c r="A894" s="7"/>
    </row>
    <row r="895" ht="14.25" customHeight="1">
      <c r="A895" s="7"/>
    </row>
    <row r="896" ht="14.25" customHeight="1">
      <c r="A896" s="7"/>
    </row>
    <row r="897" ht="14.25" customHeight="1">
      <c r="A897" s="7"/>
    </row>
    <row r="898" ht="14.25" customHeight="1">
      <c r="A898" s="7"/>
    </row>
    <row r="899" ht="14.25" customHeight="1">
      <c r="A899" s="7"/>
    </row>
    <row r="900" ht="14.25" customHeight="1">
      <c r="A900" s="7"/>
    </row>
    <row r="901" ht="14.25" customHeight="1">
      <c r="A901" s="7"/>
    </row>
    <row r="902" ht="14.25" customHeight="1">
      <c r="A902" s="7"/>
    </row>
    <row r="903" ht="14.25" customHeight="1">
      <c r="A903" s="7"/>
    </row>
    <row r="904" ht="14.25" customHeight="1">
      <c r="A904" s="7"/>
    </row>
    <row r="905" ht="14.25" customHeight="1">
      <c r="A905" s="7"/>
    </row>
    <row r="906" ht="14.25" customHeight="1">
      <c r="A906" s="7"/>
    </row>
    <row r="907" ht="14.25" customHeight="1">
      <c r="A907" s="7"/>
    </row>
    <row r="908" ht="14.25" customHeight="1">
      <c r="A908" s="7"/>
    </row>
    <row r="909" ht="14.25" customHeight="1">
      <c r="A909" s="7"/>
    </row>
    <row r="910" ht="14.25" customHeight="1">
      <c r="A910" s="7"/>
    </row>
    <row r="911" ht="14.25" customHeight="1">
      <c r="A911" s="7"/>
    </row>
    <row r="912" ht="14.25" customHeight="1">
      <c r="A912" s="7"/>
    </row>
    <row r="913" ht="14.25" customHeight="1">
      <c r="A913" s="7"/>
    </row>
    <row r="914" ht="14.25" customHeight="1">
      <c r="A914" s="7"/>
    </row>
    <row r="915" ht="14.25" customHeight="1">
      <c r="A915" s="7"/>
    </row>
    <row r="916" ht="14.25" customHeight="1">
      <c r="A916" s="7"/>
    </row>
    <row r="917" ht="14.25" customHeight="1">
      <c r="A917" s="7"/>
    </row>
    <row r="918" ht="14.25" customHeight="1">
      <c r="A918" s="7"/>
    </row>
    <row r="919" ht="14.25" customHeight="1">
      <c r="A919" s="7"/>
    </row>
    <row r="920" ht="14.25" customHeight="1">
      <c r="A920" s="7"/>
    </row>
    <row r="921" ht="14.25" customHeight="1">
      <c r="A921" s="7"/>
    </row>
    <row r="922" ht="14.25" customHeight="1">
      <c r="A922" s="7"/>
    </row>
    <row r="923" ht="14.25" customHeight="1">
      <c r="A923" s="7"/>
    </row>
    <row r="924" ht="14.25" customHeight="1">
      <c r="A924" s="7"/>
    </row>
    <row r="925" ht="14.25" customHeight="1">
      <c r="A925" s="7"/>
    </row>
    <row r="926" ht="14.25" customHeight="1">
      <c r="A926" s="7"/>
    </row>
    <row r="927" ht="14.25" customHeight="1">
      <c r="A927" s="7"/>
    </row>
    <row r="928" ht="14.25" customHeight="1">
      <c r="A928" s="7"/>
    </row>
    <row r="929" ht="14.25" customHeight="1">
      <c r="A929" s="7"/>
    </row>
    <row r="930" ht="14.25" customHeight="1">
      <c r="A930" s="7"/>
    </row>
    <row r="931" ht="14.25" customHeight="1">
      <c r="A931" s="7"/>
    </row>
    <row r="932" ht="14.25" customHeight="1">
      <c r="A932" s="7"/>
    </row>
    <row r="933" ht="14.25" customHeight="1">
      <c r="A933" s="7"/>
    </row>
    <row r="934" ht="14.25" customHeight="1">
      <c r="A934" s="7"/>
    </row>
    <row r="935" ht="14.25" customHeight="1">
      <c r="A935" s="7"/>
    </row>
    <row r="936" ht="14.25" customHeight="1">
      <c r="A936" s="7"/>
    </row>
    <row r="937" ht="14.25" customHeight="1">
      <c r="A937" s="7"/>
    </row>
    <row r="938" ht="14.25" customHeight="1">
      <c r="A938" s="7"/>
    </row>
    <row r="939" ht="14.25" customHeight="1">
      <c r="A939" s="7"/>
    </row>
    <row r="940" ht="14.25" customHeight="1">
      <c r="A940" s="7"/>
    </row>
    <row r="941" ht="14.25" customHeight="1">
      <c r="A941" s="7"/>
    </row>
    <row r="942" ht="14.25" customHeight="1">
      <c r="A942" s="7"/>
    </row>
    <row r="943" ht="14.25" customHeight="1">
      <c r="A943" s="7"/>
    </row>
    <row r="944" ht="14.25" customHeight="1">
      <c r="A944" s="7"/>
    </row>
    <row r="945" ht="14.25" customHeight="1">
      <c r="A945" s="7"/>
    </row>
    <row r="946" ht="14.25" customHeight="1">
      <c r="A946" s="7"/>
    </row>
    <row r="947" ht="14.25" customHeight="1">
      <c r="A947" s="7"/>
    </row>
    <row r="948" ht="14.25" customHeight="1">
      <c r="A948" s="7"/>
    </row>
    <row r="949" ht="14.25" customHeight="1">
      <c r="A949" s="7"/>
    </row>
    <row r="950" ht="14.25" customHeight="1">
      <c r="A950" s="7"/>
    </row>
    <row r="951" ht="14.25" customHeight="1">
      <c r="A951" s="7"/>
    </row>
    <row r="952" ht="14.25" customHeight="1">
      <c r="A952" s="7"/>
    </row>
    <row r="953" ht="14.25" customHeight="1">
      <c r="A953" s="7"/>
    </row>
    <row r="954" ht="14.25" customHeight="1">
      <c r="A954" s="7"/>
    </row>
    <row r="955" ht="14.25" customHeight="1">
      <c r="A955" s="7"/>
    </row>
    <row r="956" ht="14.25" customHeight="1">
      <c r="A956" s="7"/>
    </row>
    <row r="957" ht="14.25" customHeight="1">
      <c r="A957" s="7"/>
    </row>
    <row r="958" ht="14.25" customHeight="1">
      <c r="A958" s="7"/>
    </row>
    <row r="959" ht="14.25" customHeight="1">
      <c r="A959" s="7"/>
    </row>
    <row r="960" ht="14.25" customHeight="1">
      <c r="A960" s="7"/>
    </row>
    <row r="961" ht="14.25" customHeight="1">
      <c r="A961" s="7"/>
    </row>
    <row r="962" ht="14.25" customHeight="1">
      <c r="A962" s="7"/>
    </row>
    <row r="963" ht="14.25" customHeight="1">
      <c r="A963" s="7"/>
    </row>
    <row r="964" ht="14.25" customHeight="1">
      <c r="A964" s="7"/>
    </row>
    <row r="965" ht="14.25" customHeight="1">
      <c r="A965" s="7"/>
    </row>
    <row r="966" ht="14.25" customHeight="1">
      <c r="A966" s="7"/>
    </row>
    <row r="967" ht="14.25" customHeight="1">
      <c r="A967" s="7"/>
    </row>
    <row r="968" ht="14.25" customHeight="1">
      <c r="A968" s="7"/>
    </row>
    <row r="969" ht="14.25" customHeight="1">
      <c r="A969" s="7"/>
    </row>
    <row r="970" ht="14.25" customHeight="1">
      <c r="A970" s="7"/>
    </row>
    <row r="971" ht="14.25" customHeight="1">
      <c r="A971" s="7"/>
    </row>
    <row r="972" ht="14.25" customHeight="1">
      <c r="A972" s="7"/>
    </row>
    <row r="973" ht="14.25" customHeight="1">
      <c r="A973" s="7"/>
    </row>
    <row r="974" ht="14.25" customHeight="1">
      <c r="A974" s="7"/>
    </row>
    <row r="975" ht="14.25" customHeight="1">
      <c r="A975" s="7"/>
    </row>
    <row r="976" ht="14.25" customHeight="1">
      <c r="A976" s="7"/>
    </row>
    <row r="977" ht="14.25" customHeight="1">
      <c r="A977" s="7"/>
    </row>
    <row r="978" ht="14.25" customHeight="1">
      <c r="A978" s="7"/>
    </row>
    <row r="979" ht="14.25" customHeight="1">
      <c r="A979" s="7"/>
    </row>
    <row r="980" ht="14.25" customHeight="1">
      <c r="A980" s="7"/>
    </row>
    <row r="981" ht="14.25" customHeight="1">
      <c r="A981" s="7"/>
    </row>
    <row r="982" ht="14.25" customHeight="1">
      <c r="A982" s="7"/>
    </row>
    <row r="983" ht="14.25" customHeight="1">
      <c r="A983" s="7"/>
    </row>
    <row r="984" ht="14.25" customHeight="1">
      <c r="A984" s="7"/>
    </row>
    <row r="985" ht="14.25" customHeight="1">
      <c r="A985" s="7"/>
    </row>
    <row r="986" ht="14.25" customHeight="1">
      <c r="A986" s="7"/>
    </row>
    <row r="987" ht="14.25" customHeight="1">
      <c r="A987" s="7"/>
    </row>
    <row r="988" ht="14.25" customHeight="1">
      <c r="A988" s="7"/>
    </row>
    <row r="989" ht="14.25" customHeight="1">
      <c r="A989" s="7"/>
    </row>
    <row r="990" ht="14.25" customHeight="1">
      <c r="A990" s="7"/>
    </row>
    <row r="991" ht="14.25" customHeight="1">
      <c r="A991" s="7"/>
    </row>
    <row r="992" ht="14.25" customHeight="1">
      <c r="A992" s="7"/>
    </row>
    <row r="993" ht="14.25" customHeight="1">
      <c r="A993" s="7"/>
    </row>
    <row r="994" ht="14.25" customHeight="1">
      <c r="A994" s="7"/>
    </row>
    <row r="995" ht="14.25" customHeight="1">
      <c r="A995" s="7"/>
    </row>
    <row r="996" ht="14.25" customHeight="1">
      <c r="A996" s="7"/>
    </row>
    <row r="997" ht="14.25" customHeight="1">
      <c r="A997" s="7"/>
    </row>
    <row r="998" ht="14.25" customHeight="1">
      <c r="A998" s="7"/>
    </row>
    <row r="999" ht="14.25" customHeight="1">
      <c r="A999" s="7"/>
    </row>
    <row r="1000" ht="14.25" customHeight="1">
      <c r="A1000" s="7"/>
    </row>
  </sheetData>
  <mergeCells count="7">
    <mergeCell ref="A2:A4"/>
    <mergeCell ref="C2:C4"/>
    <mergeCell ref="A5:A7"/>
    <mergeCell ref="C5:C7"/>
    <mergeCell ref="A8:A14"/>
    <mergeCell ref="C8:C14"/>
    <mergeCell ref="C15:C16"/>
  </mergeCells>
  <printOptions/>
  <pageMargins bottom="0.75" footer="0.0" header="0.0" left="0.7" right="0.7" top="0.75"/>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17.29"/>
    <col customWidth="1" min="2" max="2" width="55.29"/>
    <col customWidth="1" min="3" max="3" width="21.29"/>
    <col customWidth="1" min="4" max="4" width="11.29"/>
    <col customWidth="1" min="5" max="5" width="25.29"/>
    <col customWidth="1" min="6" max="7" width="8.71"/>
    <col customWidth="1" min="8" max="8" width="195.29"/>
    <col customWidth="1" min="9" max="9" width="27.71"/>
    <col customWidth="1" min="10" max="26" width="8.71"/>
  </cols>
  <sheetData>
    <row r="1" ht="14.25" customHeight="1">
      <c r="A1" s="107" t="s">
        <v>158</v>
      </c>
      <c r="K1" s="7"/>
      <c r="L1" s="7"/>
      <c r="M1" s="7"/>
      <c r="N1" s="7"/>
      <c r="O1" s="7"/>
      <c r="P1" s="7"/>
      <c r="Q1" s="7"/>
      <c r="R1" s="7"/>
      <c r="S1" s="7"/>
      <c r="T1" s="7"/>
      <c r="U1" s="7"/>
      <c r="V1" s="7"/>
      <c r="W1" s="7"/>
      <c r="X1" s="7"/>
      <c r="Y1" s="7"/>
      <c r="Z1" s="7"/>
    </row>
    <row r="2" ht="14.25" customHeight="1">
      <c r="A2" s="107"/>
      <c r="B2" s="107"/>
      <c r="C2" s="107"/>
      <c r="D2" s="107"/>
      <c r="E2" s="107"/>
      <c r="F2" s="107"/>
      <c r="G2" s="107"/>
      <c r="H2" s="107"/>
      <c r="I2" s="107"/>
      <c r="J2" s="107"/>
      <c r="K2" s="7"/>
      <c r="L2" s="7"/>
      <c r="M2" s="7"/>
      <c r="N2" s="7"/>
      <c r="O2" s="7"/>
      <c r="P2" s="7"/>
      <c r="Q2" s="7"/>
      <c r="R2" s="7"/>
      <c r="S2" s="7"/>
      <c r="T2" s="7"/>
      <c r="U2" s="7"/>
      <c r="V2" s="7"/>
      <c r="W2" s="7"/>
      <c r="X2" s="7"/>
      <c r="Y2" s="7"/>
      <c r="Z2" s="7"/>
    </row>
    <row r="3" ht="14.25" customHeight="1">
      <c r="A3" s="7"/>
      <c r="B3" s="7"/>
      <c r="C3" s="7"/>
      <c r="D3" s="7"/>
      <c r="E3" s="7"/>
      <c r="F3" s="7"/>
      <c r="G3" s="7"/>
      <c r="H3" s="7"/>
      <c r="I3" s="7"/>
      <c r="J3" s="7"/>
      <c r="K3" s="7"/>
      <c r="L3" s="7"/>
      <c r="M3" s="7"/>
      <c r="N3" s="7"/>
      <c r="O3" s="7"/>
      <c r="P3" s="7"/>
      <c r="Q3" s="7"/>
      <c r="R3" s="7"/>
      <c r="S3" s="7"/>
      <c r="T3" s="7"/>
      <c r="U3" s="7"/>
      <c r="V3" s="7"/>
      <c r="W3" s="7"/>
      <c r="X3" s="7"/>
      <c r="Y3" s="7"/>
      <c r="Z3" s="7"/>
    </row>
    <row r="4" ht="14.25" customHeight="1">
      <c r="A4" s="56" t="s">
        <v>159</v>
      </c>
      <c r="B4" s="116" t="s">
        <v>160</v>
      </c>
      <c r="C4" s="7" t="s">
        <v>161</v>
      </c>
      <c r="D4" s="7" t="s">
        <v>162</v>
      </c>
      <c r="E4" s="7" t="s">
        <v>163</v>
      </c>
      <c r="F4" s="7" t="s">
        <v>164</v>
      </c>
      <c r="G4" s="131">
        <v>1.0</v>
      </c>
      <c r="I4" s="129" t="s">
        <v>165</v>
      </c>
    </row>
    <row r="5" ht="14.25" customHeight="1">
      <c r="C5" s="7" t="s">
        <v>166</v>
      </c>
      <c r="D5" s="7" t="s">
        <v>167</v>
      </c>
      <c r="E5" s="7" t="s">
        <v>168</v>
      </c>
      <c r="F5" s="7" t="s">
        <v>169</v>
      </c>
      <c r="G5" s="132">
        <v>2.0</v>
      </c>
      <c r="H5" s="7" t="s">
        <v>170</v>
      </c>
      <c r="I5" s="55">
        <f>IFERROR(VLOOKUP('Answer Sheet'!E14,'Matrix - Part 2'!F4:G6,2,FALSE),0)</f>
        <v>0</v>
      </c>
    </row>
    <row r="6" ht="14.25" customHeight="1">
      <c r="C6" s="7" t="s">
        <v>171</v>
      </c>
      <c r="D6" s="7" t="s">
        <v>172</v>
      </c>
      <c r="E6" s="7" t="s">
        <v>173</v>
      </c>
      <c r="F6" s="7" t="s">
        <v>174</v>
      </c>
      <c r="G6" s="133">
        <v>4.0</v>
      </c>
      <c r="H6" s="7" t="s">
        <v>175</v>
      </c>
      <c r="I6" s="55"/>
    </row>
    <row r="7" ht="14.25" customHeight="1">
      <c r="A7" s="7"/>
      <c r="B7" s="7"/>
      <c r="C7" s="7"/>
      <c r="D7" s="7"/>
      <c r="E7" s="7"/>
      <c r="F7" s="7"/>
      <c r="G7" s="7"/>
      <c r="I7" s="55"/>
    </row>
    <row r="8" ht="14.25" customHeight="1">
      <c r="A8" s="7"/>
      <c r="B8" s="7"/>
      <c r="C8" s="7"/>
      <c r="D8" s="7"/>
      <c r="E8" s="7"/>
      <c r="F8" s="7"/>
      <c r="G8" s="7"/>
      <c r="I8" s="55"/>
    </row>
    <row r="9" ht="14.25" customHeight="1">
      <c r="A9" s="109" t="s">
        <v>176</v>
      </c>
      <c r="B9" s="116" t="s">
        <v>177</v>
      </c>
      <c r="C9" s="7" t="s">
        <v>178</v>
      </c>
      <c r="D9" s="7" t="s">
        <v>162</v>
      </c>
      <c r="E9" s="7" t="s">
        <v>163</v>
      </c>
      <c r="F9" s="7" t="s">
        <v>179</v>
      </c>
      <c r="G9" s="131">
        <v>1.0</v>
      </c>
      <c r="I9" s="55"/>
      <c r="J9" s="7"/>
    </row>
    <row r="10" ht="14.25" customHeight="1">
      <c r="C10" s="7" t="s">
        <v>180</v>
      </c>
      <c r="D10" s="7" t="s">
        <v>181</v>
      </c>
      <c r="E10" s="7" t="s">
        <v>182</v>
      </c>
      <c r="F10" s="7" t="s">
        <v>183</v>
      </c>
      <c r="G10" s="131">
        <v>1.0</v>
      </c>
      <c r="I10" s="55">
        <f>IFERROR(VLOOKUP('Answer Sheet'!E15,'Matrix - Part 2'!F9:G12,2,FALSE),0)</f>
        <v>0</v>
      </c>
    </row>
    <row r="11" ht="14.25" customHeight="1">
      <c r="C11" s="7" t="s">
        <v>184</v>
      </c>
      <c r="D11" s="7" t="s">
        <v>185</v>
      </c>
      <c r="E11" s="7" t="s">
        <v>168</v>
      </c>
      <c r="F11" s="7" t="s">
        <v>186</v>
      </c>
      <c r="G11" s="134">
        <v>3.0</v>
      </c>
      <c r="H11" s="129" t="s">
        <v>187</v>
      </c>
      <c r="I11" s="55"/>
    </row>
    <row r="12" ht="14.25" customHeight="1">
      <c r="C12" s="7" t="s">
        <v>188</v>
      </c>
      <c r="D12" s="7" t="s">
        <v>172</v>
      </c>
      <c r="E12" s="7" t="s">
        <v>189</v>
      </c>
      <c r="F12" s="7" t="s">
        <v>190</v>
      </c>
      <c r="G12" s="133">
        <v>4.0</v>
      </c>
      <c r="H12" s="129" t="s">
        <v>191</v>
      </c>
      <c r="I12" s="55"/>
    </row>
    <row r="13" ht="14.25" customHeight="1">
      <c r="A13" s="7"/>
      <c r="B13" s="7"/>
      <c r="C13" s="7"/>
      <c r="D13" s="7"/>
      <c r="E13" s="7"/>
      <c r="F13" s="7"/>
      <c r="G13" s="7"/>
      <c r="I13" s="55"/>
    </row>
    <row r="14" ht="14.25" customHeight="1">
      <c r="A14" s="7"/>
      <c r="B14" s="7"/>
      <c r="C14" s="7"/>
      <c r="D14" s="7"/>
      <c r="E14" s="7"/>
      <c r="F14" s="7"/>
      <c r="G14" s="7"/>
      <c r="I14" s="55"/>
    </row>
    <row r="15" ht="14.25" customHeight="1">
      <c r="A15" s="7"/>
      <c r="B15" s="7"/>
      <c r="C15" s="7"/>
      <c r="D15" s="7"/>
      <c r="E15" s="7"/>
      <c r="F15" s="7"/>
      <c r="G15" s="7"/>
      <c r="I15" s="55"/>
    </row>
    <row r="16" ht="14.25" customHeight="1">
      <c r="A16" s="109" t="s">
        <v>192</v>
      </c>
      <c r="B16" s="116" t="s">
        <v>193</v>
      </c>
      <c r="C16" s="7" t="s">
        <v>194</v>
      </c>
      <c r="D16" s="7" t="s">
        <v>162</v>
      </c>
      <c r="E16" s="7" t="s">
        <v>163</v>
      </c>
      <c r="F16" s="7" t="s">
        <v>195</v>
      </c>
      <c r="G16" s="131">
        <v>1.0</v>
      </c>
      <c r="H16" s="7"/>
      <c r="I16" s="55" t="str">
        <f>IFERROR(VLOOKUP('Answer Sheet'!E16,F16:G20,2,FALSE),"0")</f>
        <v>0</v>
      </c>
      <c r="J16" s="7"/>
      <c r="K16" s="7"/>
      <c r="L16" s="7"/>
      <c r="M16" s="7"/>
      <c r="N16" s="7"/>
      <c r="O16" s="7"/>
      <c r="P16" s="7"/>
      <c r="Q16" s="7"/>
      <c r="R16" s="7"/>
      <c r="S16" s="7"/>
      <c r="T16" s="7"/>
      <c r="U16" s="7"/>
      <c r="V16" s="7"/>
      <c r="W16" s="7"/>
      <c r="X16" s="7"/>
      <c r="Y16" s="7"/>
      <c r="Z16" s="7"/>
    </row>
    <row r="17" ht="14.25" customHeight="1">
      <c r="C17" s="7" t="s">
        <v>196</v>
      </c>
      <c r="D17" s="7" t="s">
        <v>197</v>
      </c>
      <c r="E17" s="7" t="s">
        <v>168</v>
      </c>
      <c r="F17" s="7" t="s">
        <v>198</v>
      </c>
      <c r="G17" s="134">
        <v>3.0</v>
      </c>
      <c r="H17" s="7" t="s">
        <v>199</v>
      </c>
      <c r="I17" s="55" t="str">
        <f>IFERROR(VLOOKUP('Answer Sheet'!F16,F17:G21,2,FALSE),"0")</f>
        <v>0</v>
      </c>
      <c r="J17" s="7"/>
      <c r="K17" s="7"/>
      <c r="L17" s="7"/>
      <c r="M17" s="7"/>
      <c r="N17" s="7"/>
      <c r="O17" s="7"/>
      <c r="P17" s="7"/>
      <c r="Q17" s="7"/>
      <c r="R17" s="7"/>
      <c r="S17" s="7"/>
      <c r="T17" s="7"/>
      <c r="U17" s="7"/>
      <c r="V17" s="7"/>
      <c r="W17" s="7"/>
      <c r="X17" s="7"/>
      <c r="Y17" s="7"/>
      <c r="Z17" s="7"/>
    </row>
    <row r="18" ht="14.25" customHeight="1">
      <c r="C18" s="7" t="s">
        <v>200</v>
      </c>
      <c r="D18" s="7" t="s">
        <v>197</v>
      </c>
      <c r="E18" s="7" t="s">
        <v>168</v>
      </c>
      <c r="F18" s="7" t="s">
        <v>201</v>
      </c>
      <c r="G18" s="134">
        <v>3.0</v>
      </c>
      <c r="H18" s="7" t="s">
        <v>202</v>
      </c>
      <c r="I18" s="55" t="str">
        <f>IFERROR(VLOOKUP('Answer Sheet'!G16,F18:G22,2,FALSE),"0")</f>
        <v>0</v>
      </c>
      <c r="J18" s="7"/>
      <c r="K18" s="7"/>
      <c r="L18" s="7"/>
      <c r="M18" s="7"/>
      <c r="N18" s="7"/>
      <c r="O18" s="7"/>
      <c r="P18" s="7"/>
      <c r="Q18" s="7"/>
      <c r="R18" s="7"/>
      <c r="S18" s="7"/>
      <c r="T18" s="7"/>
      <c r="U18" s="7"/>
      <c r="V18" s="7"/>
      <c r="W18" s="7"/>
      <c r="X18" s="7"/>
      <c r="Y18" s="7"/>
      <c r="Z18" s="7"/>
    </row>
    <row r="19" ht="14.25" customHeight="1">
      <c r="A19" s="7"/>
      <c r="B19" s="7"/>
      <c r="C19" s="7" t="s">
        <v>203</v>
      </c>
      <c r="D19" s="7" t="s">
        <v>197</v>
      </c>
      <c r="E19" s="7" t="s">
        <v>168</v>
      </c>
      <c r="F19" s="7" t="s">
        <v>204</v>
      </c>
      <c r="G19" s="134">
        <v>3.0</v>
      </c>
      <c r="H19" s="7" t="s">
        <v>205</v>
      </c>
      <c r="I19" s="55" t="str">
        <f>IFERROR(VLOOKUP('Answer Sheet'!H16,F19:G23,2,FALSE),"0")</f>
        <v>0</v>
      </c>
      <c r="J19" s="7"/>
      <c r="K19" s="7"/>
      <c r="L19" s="7"/>
      <c r="M19" s="7"/>
      <c r="N19" s="7"/>
      <c r="O19" s="7"/>
      <c r="P19" s="7"/>
      <c r="Q19" s="7"/>
      <c r="R19" s="7"/>
      <c r="S19" s="7"/>
      <c r="T19" s="7"/>
      <c r="U19" s="7"/>
      <c r="V19" s="7"/>
      <c r="W19" s="7"/>
      <c r="X19" s="7"/>
      <c r="Y19" s="7"/>
      <c r="Z19" s="7"/>
    </row>
    <row r="20" ht="14.25" customHeight="1">
      <c r="A20" s="7"/>
      <c r="B20" s="7"/>
      <c r="C20" s="7" t="s">
        <v>206</v>
      </c>
      <c r="D20" s="7" t="s">
        <v>197</v>
      </c>
      <c r="E20" s="7" t="s">
        <v>168</v>
      </c>
      <c r="F20" s="7" t="s">
        <v>207</v>
      </c>
      <c r="G20" s="134">
        <v>3.0</v>
      </c>
      <c r="H20" s="7" t="s">
        <v>208</v>
      </c>
      <c r="I20" s="55"/>
      <c r="J20" s="7"/>
      <c r="K20" s="7"/>
      <c r="L20" s="7"/>
      <c r="M20" s="7"/>
      <c r="N20" s="7"/>
      <c r="O20" s="7"/>
      <c r="P20" s="7"/>
      <c r="Q20" s="7"/>
      <c r="R20" s="7"/>
      <c r="S20" s="7"/>
      <c r="T20" s="7"/>
      <c r="U20" s="7"/>
      <c r="V20" s="7"/>
      <c r="W20" s="7"/>
      <c r="X20" s="7"/>
      <c r="Y20" s="7"/>
      <c r="Z20" s="7"/>
    </row>
    <row r="21" ht="14.25" customHeight="1">
      <c r="A21" s="7"/>
      <c r="B21" s="7"/>
      <c r="C21" s="7"/>
      <c r="D21" s="7"/>
      <c r="E21" s="7"/>
      <c r="F21" s="7"/>
      <c r="G21" s="7"/>
      <c r="I21" s="55"/>
    </row>
    <row r="22" ht="14.25" customHeight="1">
      <c r="A22" s="56" t="s">
        <v>209</v>
      </c>
      <c r="B22" s="108" t="s">
        <v>210</v>
      </c>
      <c r="C22" s="7" t="s">
        <v>178</v>
      </c>
      <c r="D22" s="7" t="s">
        <v>162</v>
      </c>
      <c r="E22" s="7" t="s">
        <v>163</v>
      </c>
      <c r="F22" s="7" t="s">
        <v>211</v>
      </c>
      <c r="G22" s="131">
        <v>1.0</v>
      </c>
      <c r="I22" s="55"/>
    </row>
    <row r="23" ht="14.25" customHeight="1">
      <c r="C23" s="7" t="s">
        <v>212</v>
      </c>
      <c r="D23" s="7" t="s">
        <v>185</v>
      </c>
      <c r="E23" s="7" t="s">
        <v>168</v>
      </c>
      <c r="F23" s="7" t="s">
        <v>213</v>
      </c>
      <c r="G23" s="134">
        <v>3.0</v>
      </c>
      <c r="H23" s="129" t="s">
        <v>214</v>
      </c>
      <c r="I23" s="55">
        <f>IFERROR(VLOOKUP('Answer Sheet'!E17,'Matrix - Part 2'!F22:G24,2,FALSE),0)</f>
        <v>0</v>
      </c>
    </row>
    <row r="24" ht="14.25" customHeight="1">
      <c r="C24" s="7" t="s">
        <v>215</v>
      </c>
      <c r="D24" s="7" t="s">
        <v>172</v>
      </c>
      <c r="E24" s="7" t="s">
        <v>216</v>
      </c>
      <c r="F24" s="7" t="s">
        <v>217</v>
      </c>
      <c r="G24" s="133">
        <v>4.0</v>
      </c>
      <c r="H24" s="129" t="s">
        <v>218</v>
      </c>
      <c r="I24" s="55"/>
    </row>
    <row r="25" ht="14.25" customHeight="1">
      <c r="I25" s="7"/>
    </row>
    <row r="26" ht="14.25" customHeight="1">
      <c r="I26" s="55">
        <f>SUM(I5:I24)</f>
        <v>0</v>
      </c>
    </row>
    <row r="27" ht="14.25" customHeight="1">
      <c r="I27" s="55">
        <f>COUNTIF(I5:I24,"&gt;0.9")</f>
        <v>0</v>
      </c>
    </row>
    <row r="28" ht="14.25" customHeight="1">
      <c r="H28" s="130" t="s">
        <v>219</v>
      </c>
      <c r="I28" s="55">
        <f>IFERROR(ROUND(I26/I27,1),0)</f>
        <v>0</v>
      </c>
    </row>
    <row r="29" ht="14.25" customHeight="1"/>
    <row r="30" ht="14.25" customHeight="1">
      <c r="A30" s="135" t="s">
        <v>220</v>
      </c>
    </row>
    <row r="31" ht="14.25" customHeight="1"/>
    <row r="32" ht="14.25" customHeight="1">
      <c r="A32" s="111" t="s">
        <v>221</v>
      </c>
      <c r="B32" s="7" t="s">
        <v>222</v>
      </c>
      <c r="C32" s="7"/>
      <c r="D32" s="7"/>
      <c r="E32" s="7"/>
      <c r="F32" s="7"/>
      <c r="G32" s="7"/>
      <c r="H32" s="7"/>
      <c r="I32" s="7"/>
      <c r="J32" s="7"/>
    </row>
    <row r="33" ht="14.25" customHeight="1">
      <c r="A33" s="136">
        <v>1.0</v>
      </c>
      <c r="B33" s="129" t="s">
        <v>223</v>
      </c>
    </row>
    <row r="34" ht="14.25" customHeight="1">
      <c r="A34" s="136">
        <v>1.2</v>
      </c>
      <c r="B34" s="129" t="s">
        <v>223</v>
      </c>
      <c r="I34" s="7"/>
    </row>
    <row r="35" ht="14.25" customHeight="1">
      <c r="A35" s="136">
        <v>1.3</v>
      </c>
      <c r="B35" s="129" t="s">
        <v>223</v>
      </c>
    </row>
    <row r="36" ht="14.25" customHeight="1">
      <c r="A36" s="136">
        <v>1.4</v>
      </c>
      <c r="B36" s="129" t="s">
        <v>223</v>
      </c>
    </row>
    <row r="37" ht="14.25" customHeight="1">
      <c r="A37" s="137">
        <v>1.5</v>
      </c>
      <c r="B37" s="129" t="s">
        <v>224</v>
      </c>
    </row>
    <row r="38" ht="14.25" customHeight="1">
      <c r="A38" s="137">
        <v>1.6</v>
      </c>
      <c r="B38" s="129" t="s">
        <v>224</v>
      </c>
    </row>
    <row r="39" ht="14.25" customHeight="1">
      <c r="A39" s="137">
        <v>1.7</v>
      </c>
      <c r="B39" s="129" t="s">
        <v>224</v>
      </c>
    </row>
    <row r="40" ht="14.25" customHeight="1">
      <c r="A40" s="137">
        <v>1.8</v>
      </c>
      <c r="B40" s="129" t="s">
        <v>224</v>
      </c>
    </row>
    <row r="41" ht="14.25" customHeight="1">
      <c r="A41" s="137">
        <v>1.9</v>
      </c>
      <c r="B41" s="129" t="s">
        <v>224</v>
      </c>
    </row>
    <row r="42" ht="14.25" customHeight="1">
      <c r="A42" s="137">
        <v>2.0</v>
      </c>
      <c r="B42" s="129" t="s">
        <v>224</v>
      </c>
    </row>
    <row r="43" ht="14.25" customHeight="1">
      <c r="A43" s="137">
        <v>2.1</v>
      </c>
      <c r="B43" s="129" t="s">
        <v>224</v>
      </c>
    </row>
    <row r="44" ht="14.25" customHeight="1">
      <c r="A44" s="137">
        <v>2.2</v>
      </c>
      <c r="B44" s="129" t="s">
        <v>224</v>
      </c>
    </row>
    <row r="45" ht="14.25" customHeight="1">
      <c r="A45" s="137">
        <v>2.3</v>
      </c>
      <c r="B45" s="129" t="s">
        <v>224</v>
      </c>
    </row>
    <row r="46" ht="14.25" customHeight="1">
      <c r="A46" s="134">
        <v>2.4</v>
      </c>
      <c r="B46" s="129" t="s">
        <v>225</v>
      </c>
    </row>
    <row r="47" ht="14.25" customHeight="1">
      <c r="A47" s="134">
        <v>2.5</v>
      </c>
      <c r="B47" s="129" t="s">
        <v>225</v>
      </c>
    </row>
    <row r="48" ht="14.25" customHeight="1">
      <c r="A48" s="134">
        <v>2.6</v>
      </c>
      <c r="B48" s="129" t="s">
        <v>225</v>
      </c>
    </row>
    <row r="49" ht="14.25" customHeight="1">
      <c r="A49" s="134">
        <v>2.7</v>
      </c>
      <c r="B49" s="129" t="s">
        <v>225</v>
      </c>
    </row>
    <row r="50" ht="14.25" customHeight="1">
      <c r="A50" s="134">
        <v>2.8</v>
      </c>
      <c r="B50" s="129" t="s">
        <v>225</v>
      </c>
    </row>
    <row r="51" ht="14.25" customHeight="1">
      <c r="A51" s="134">
        <v>2.9</v>
      </c>
      <c r="B51" s="129" t="s">
        <v>225</v>
      </c>
    </row>
    <row r="52" ht="14.25" customHeight="1">
      <c r="A52" s="134">
        <v>3.0</v>
      </c>
      <c r="B52" s="129" t="s">
        <v>225</v>
      </c>
    </row>
    <row r="53" ht="14.25" customHeight="1">
      <c r="A53" s="134">
        <v>3.1</v>
      </c>
      <c r="B53" s="129" t="s">
        <v>225</v>
      </c>
    </row>
    <row r="54" ht="14.25" customHeight="1">
      <c r="A54" s="134">
        <v>3.2</v>
      </c>
      <c r="B54" s="129" t="s">
        <v>225</v>
      </c>
    </row>
    <row r="55" ht="14.25" customHeight="1">
      <c r="A55" s="134">
        <v>3.3</v>
      </c>
      <c r="B55" s="129" t="s">
        <v>225</v>
      </c>
    </row>
    <row r="56" ht="14.25" customHeight="1">
      <c r="A56" s="134">
        <v>3.4</v>
      </c>
      <c r="B56" s="7" t="s">
        <v>225</v>
      </c>
      <c r="C56" s="7"/>
      <c r="D56" s="7"/>
      <c r="E56" s="7"/>
    </row>
    <row r="57" ht="14.25" customHeight="1">
      <c r="A57" s="138">
        <v>3.5</v>
      </c>
      <c r="B57" s="129" t="s">
        <v>226</v>
      </c>
    </row>
    <row r="58" ht="14.25" customHeight="1">
      <c r="A58" s="138">
        <v>3.6</v>
      </c>
      <c r="B58" s="129" t="s">
        <v>226</v>
      </c>
    </row>
    <row r="59" ht="14.25" customHeight="1">
      <c r="A59" s="138">
        <v>3.7</v>
      </c>
      <c r="B59" s="129" t="s">
        <v>226</v>
      </c>
    </row>
    <row r="60" ht="14.25" customHeight="1">
      <c r="A60" s="138">
        <v>3.8</v>
      </c>
      <c r="B60" s="129" t="s">
        <v>226</v>
      </c>
    </row>
    <row r="61" ht="14.25" customHeight="1">
      <c r="A61" s="138">
        <v>3.9</v>
      </c>
      <c r="B61" s="129" t="s">
        <v>226</v>
      </c>
    </row>
    <row r="62" ht="14.25" customHeight="1">
      <c r="A62" s="138">
        <v>4.0</v>
      </c>
      <c r="B62" s="129" t="s">
        <v>226</v>
      </c>
    </row>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0">
    <mergeCell ref="A22:A24"/>
    <mergeCell ref="B22:B24"/>
    <mergeCell ref="A30:J30"/>
    <mergeCell ref="A1:J1"/>
    <mergeCell ref="A4:A6"/>
    <mergeCell ref="B4:B6"/>
    <mergeCell ref="A9:A12"/>
    <mergeCell ref="B9:B12"/>
    <mergeCell ref="A16:A18"/>
    <mergeCell ref="B16:B18"/>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8">
    <pageSetUpPr/>
  </sheetPr>
  <sheetViews>
    <sheetView workbookViewId="0"/>
  </sheetViews>
  <sheetFormatPr customHeight="1" defaultColWidth="14.43" defaultRowHeight="15.0"/>
  <cols>
    <col customWidth="1" min="1" max="26" width="8.71"/>
  </cols>
  <sheetData>
    <row r="1" ht="14.25" customHeight="1">
      <c r="A1" s="129" t="s">
        <v>227</v>
      </c>
    </row>
    <row r="2" ht="14.25" customHeight="1">
      <c r="A2" s="129" t="s">
        <v>228</v>
      </c>
    </row>
    <row r="3" ht="14.25" customHeight="1">
      <c r="A3" s="129" t="s">
        <v>229</v>
      </c>
    </row>
    <row r="4" ht="14.25" customHeight="1">
      <c r="A4" s="129" t="s">
        <v>230</v>
      </c>
    </row>
    <row r="5" ht="14.25" customHeight="1">
      <c r="A5" s="129" t="s">
        <v>231</v>
      </c>
    </row>
    <row r="6" ht="14.25" customHeight="1">
      <c r="A6" s="129" t="s">
        <v>232</v>
      </c>
    </row>
    <row r="7" ht="14.25" customHeight="1">
      <c r="A7" s="129" t="s">
        <v>233</v>
      </c>
    </row>
    <row r="8" ht="14.25" customHeight="1">
      <c r="A8" s="129" t="s">
        <v>234</v>
      </c>
    </row>
    <row r="9" ht="14.25" customHeight="1">
      <c r="A9" s="7"/>
      <c r="B9" s="7"/>
      <c r="C9" s="7"/>
      <c r="D9" s="7"/>
      <c r="E9" s="7"/>
      <c r="F9" s="7"/>
      <c r="G9" s="7"/>
      <c r="H9" s="7"/>
      <c r="I9" s="7"/>
      <c r="J9" s="7"/>
      <c r="K9" s="7"/>
      <c r="L9" s="7"/>
      <c r="M9" s="7"/>
      <c r="N9" s="7"/>
      <c r="O9" s="7"/>
      <c r="P9" s="7"/>
      <c r="Q9" s="7"/>
      <c r="R9" s="7"/>
      <c r="S9" s="7"/>
      <c r="T9" s="7"/>
      <c r="U9" s="7"/>
      <c r="V9" s="7"/>
      <c r="W9" s="7"/>
      <c r="X9" s="7"/>
      <c r="Y9" s="7"/>
      <c r="Z9" s="7"/>
    </row>
    <row r="10" ht="14.25" customHeight="1">
      <c r="A10" s="107" t="s">
        <v>17</v>
      </c>
      <c r="N10" s="7"/>
      <c r="O10" s="7"/>
      <c r="P10" s="7"/>
      <c r="Q10" s="7"/>
      <c r="R10" s="7"/>
      <c r="S10" s="7"/>
      <c r="T10" s="7"/>
      <c r="U10" s="7"/>
      <c r="V10" s="7"/>
      <c r="W10" s="7"/>
      <c r="X10" s="7"/>
      <c r="Y10" s="7"/>
      <c r="Z10" s="7"/>
    </row>
    <row r="11" ht="14.25" customHeight="1">
      <c r="A11" s="129" t="s">
        <v>235</v>
      </c>
    </row>
    <row r="12" ht="14.25" customHeight="1">
      <c r="A12" s="129" t="s">
        <v>236</v>
      </c>
    </row>
    <row r="13" ht="14.25" customHeight="1">
      <c r="A13" s="129" t="s">
        <v>237</v>
      </c>
    </row>
    <row r="14" ht="14.25" customHeight="1">
      <c r="A14" s="129" t="s">
        <v>238</v>
      </c>
    </row>
    <row r="15" ht="14.25" customHeight="1">
      <c r="A15" s="129" t="s">
        <v>239</v>
      </c>
    </row>
    <row r="16" ht="14.25" customHeight="1">
      <c r="A16" s="129" t="s">
        <v>240</v>
      </c>
    </row>
    <row r="17" ht="14.25" customHeight="1">
      <c r="A17" s="7"/>
      <c r="B17" s="7"/>
      <c r="C17" s="7"/>
      <c r="D17" s="7"/>
      <c r="E17" s="7"/>
      <c r="F17" s="7"/>
      <c r="G17" s="7"/>
      <c r="H17" s="7"/>
      <c r="I17" s="7"/>
      <c r="J17" s="7"/>
      <c r="K17" s="7"/>
      <c r="L17" s="7"/>
      <c r="M17" s="7"/>
      <c r="N17" s="7"/>
      <c r="O17" s="7"/>
      <c r="P17" s="7"/>
      <c r="Q17" s="7"/>
      <c r="R17" s="7"/>
      <c r="S17" s="7"/>
      <c r="T17" s="7"/>
      <c r="U17" s="7"/>
      <c r="V17" s="7"/>
      <c r="W17" s="7"/>
      <c r="X17" s="7"/>
      <c r="Y17" s="7"/>
      <c r="Z17" s="7"/>
    </row>
    <row r="18" ht="14.25" customHeight="1">
      <c r="A18" s="107" t="s">
        <v>18</v>
      </c>
      <c r="N18" s="7"/>
      <c r="O18" s="7"/>
      <c r="P18" s="7"/>
      <c r="Q18" s="7"/>
      <c r="R18" s="7"/>
      <c r="S18" s="7"/>
      <c r="T18" s="7"/>
      <c r="U18" s="7"/>
      <c r="V18" s="7"/>
      <c r="W18" s="7"/>
      <c r="X18" s="7"/>
      <c r="Y18" s="7"/>
      <c r="Z18" s="7"/>
    </row>
    <row r="19" ht="14.25" customHeight="1">
      <c r="A19" s="129" t="s">
        <v>241</v>
      </c>
    </row>
    <row r="20" ht="14.25" customHeight="1">
      <c r="A20" s="129" t="s">
        <v>242</v>
      </c>
    </row>
    <row r="21" ht="14.25" customHeight="1">
      <c r="A21" s="129" t="s">
        <v>243</v>
      </c>
    </row>
    <row r="22" ht="14.25" customHeight="1">
      <c r="A22" s="129" t="s">
        <v>244</v>
      </c>
    </row>
    <row r="23" ht="14.25" customHeight="1">
      <c r="A23" s="129" t="s">
        <v>245</v>
      </c>
    </row>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2">
    <mergeCell ref="A10:M10"/>
    <mergeCell ref="A18:M18"/>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26" width="8.71"/>
  </cols>
  <sheetData>
    <row r="1" ht="14.25" customHeight="1">
      <c r="A1" s="57"/>
      <c r="B1" s="57"/>
      <c r="C1" s="57"/>
      <c r="D1" s="57"/>
      <c r="E1" s="57"/>
      <c r="F1" s="57"/>
      <c r="G1" s="57"/>
      <c r="H1" s="2" t="s">
        <v>63</v>
      </c>
      <c r="N1" s="57"/>
      <c r="O1" s="7"/>
      <c r="P1" s="7"/>
      <c r="Q1" s="7"/>
      <c r="R1" s="7"/>
      <c r="S1" s="7"/>
      <c r="T1" s="7"/>
      <c r="U1" s="7"/>
      <c r="V1" s="7"/>
      <c r="W1" s="7"/>
      <c r="X1" s="7"/>
      <c r="Y1" s="7"/>
      <c r="Z1" s="7"/>
    </row>
    <row r="2" ht="14.25" customHeight="1">
      <c r="A2" s="58"/>
      <c r="B2" s="58"/>
      <c r="C2" s="58"/>
      <c r="D2" s="58"/>
      <c r="E2" s="58"/>
      <c r="F2" s="58"/>
      <c r="G2" s="58"/>
      <c r="N2" s="58"/>
    </row>
    <row r="3" ht="14.25" customHeight="1">
      <c r="A3" s="58"/>
      <c r="B3" s="58"/>
      <c r="C3" s="58"/>
      <c r="D3" s="58"/>
      <c r="E3" s="58"/>
      <c r="F3" s="58"/>
      <c r="G3" s="58"/>
      <c r="N3" s="58"/>
    </row>
    <row r="4" ht="14.25" customHeight="1">
      <c r="A4" s="7"/>
      <c r="B4" s="7"/>
      <c r="C4" s="7"/>
      <c r="D4" s="7"/>
      <c r="E4" s="7"/>
      <c r="G4" s="7"/>
      <c r="H4" s="7"/>
      <c r="I4" s="7"/>
      <c r="J4" s="7"/>
      <c r="K4" s="7"/>
      <c r="L4" s="7"/>
      <c r="M4" s="7"/>
      <c r="N4" s="7"/>
    </row>
    <row r="5" ht="14.25" customHeight="1">
      <c r="B5" s="51" t="s">
        <v>64</v>
      </c>
      <c r="E5" s="8" t="s">
        <v>65</v>
      </c>
      <c r="N5" s="7"/>
    </row>
    <row r="6" ht="14.25" customHeight="1">
      <c r="A6" s="60"/>
      <c r="B6" s="82">
        <f>'Matrix - Part 2'!I28</f>
        <v>0</v>
      </c>
      <c r="E6" s="83" t="str">
        <f>VLOOKUP(B6,'Matrix - Part 2'!A33:B62,2,FALSE)</f>
        <v>#N/A</v>
      </c>
      <c r="F6" s="84"/>
      <c r="G6" s="84"/>
      <c r="H6" s="84"/>
      <c r="I6" s="84"/>
      <c r="J6" s="84"/>
      <c r="K6" s="84"/>
      <c r="L6" s="84"/>
      <c r="M6" s="85"/>
      <c r="N6" s="7"/>
    </row>
    <row r="7" ht="14.25" customHeight="1">
      <c r="A7" s="60"/>
      <c r="E7" s="86"/>
      <c r="M7" s="87"/>
      <c r="N7" s="7"/>
    </row>
    <row r="8" ht="14.25" customHeight="1">
      <c r="A8" s="60"/>
      <c r="E8" s="88"/>
      <c r="F8" s="89"/>
      <c r="G8" s="89"/>
      <c r="H8" s="89"/>
      <c r="I8" s="89"/>
      <c r="J8" s="89"/>
      <c r="K8" s="89"/>
      <c r="L8" s="89"/>
      <c r="M8" s="90"/>
      <c r="N8" s="7"/>
    </row>
    <row r="9" ht="14.25" customHeight="1">
      <c r="A9" s="60"/>
      <c r="B9" s="139"/>
      <c r="C9" s="139"/>
      <c r="D9" s="139"/>
      <c r="E9" s="77"/>
      <c r="F9" s="77"/>
      <c r="G9" s="77"/>
      <c r="H9" s="77"/>
      <c r="I9" s="77"/>
      <c r="J9" s="77"/>
      <c r="K9" s="77"/>
      <c r="L9" s="77"/>
      <c r="M9" s="77"/>
      <c r="N9" s="7"/>
    </row>
    <row r="10" ht="14.25" customHeight="1">
      <c r="A10" s="60"/>
      <c r="B10" s="91" t="s">
        <v>66</v>
      </c>
      <c r="C10" s="14"/>
      <c r="D10" s="14"/>
      <c r="E10" s="15"/>
      <c r="F10" s="92" t="s">
        <v>67</v>
      </c>
      <c r="G10" s="14"/>
      <c r="H10" s="14"/>
      <c r="I10" s="15"/>
      <c r="J10" s="93" t="s">
        <v>68</v>
      </c>
      <c r="K10" s="14"/>
      <c r="L10" s="14"/>
      <c r="M10" s="15"/>
      <c r="N10" s="7"/>
    </row>
    <row r="11" ht="15.0" customHeight="1">
      <c r="B11" s="140" t="str">
        <f>IFERROR(VLOOKUP('Matrix - Part 2'!I5,'Matrix - Part 2'!G6:H6,2,FALSE),"")&amp;CHAR(10)&amp;""&amp;CHAR(10)&amp;IFERROR(VLOOKUP('Matrix - Part 2'!I10,'Matrix - Part 2'!G12:H12,2,FALSE),"")&amp;CHAR(10)&amp;""&amp;CHAR(10)&amp;IFERROR(VLOOKUP('Matrix - Part 2'!#REF!,'Matrix - Part 2'!#REF!,2,FALSE),"")&amp;CHAR(10)&amp;""&amp;CHAR(10)&amp;IFERROR(VLOOKUP('Matrix - Part 2'!I16,'Matrix - Part 2'!G18:H18,2,FALSE),"")&amp;CHAR(10)&amp;""&amp;IFERROR(VLOOKUP('Matrix - Part 2'!I23,'Matrix - Part 2'!G24:H24,2,FALSE),"")</f>
        <v>#ERROR!</v>
      </c>
      <c r="C11" s="141"/>
      <c r="D11" s="141"/>
      <c r="E11" s="142"/>
      <c r="F11" s="140" t="str">
        <f>IFERROR(VLOOKUP('Matrix - Part 2'!I10,'Matrix - Part 2'!G11:H11,2,FALSE),"")&amp;CHAR(10)&amp;""&amp;CHAR(10)&amp;IFERROR(VLOOKUP('Matrix - Part 2'!#REF!,'Matrix - Part 2'!#REF!,2,FALSE),"")&amp;CHAR(10)&amp;""&amp;CHAR(10)&amp;IFERROR(VLOOKUP('Matrix - Part 2'!I16,'Matrix - Part 2'!G17:H17,2,FALSE),"")&amp;CHAR(10)&amp;""&amp;CHAR(10)&amp;IFERROR(VLOOKUP('Matrix - Part 2'!I23,'Matrix - Part 2'!G23:H23,2,FALSE),"")</f>
        <v>#ERROR!</v>
      </c>
      <c r="G11" s="141"/>
      <c r="H11" s="141"/>
      <c r="I11" s="142"/>
      <c r="J11" s="140" t="str">
        <f>IFERROR(VLOOKUP('Matrix - Part 2'!I5,'Matrix - Part 2'!G5:H5,2,FALSE),"")</f>
        <v/>
      </c>
      <c r="K11" s="141"/>
      <c r="L11" s="141"/>
      <c r="M11" s="142"/>
      <c r="N11" s="7"/>
    </row>
    <row r="12" ht="14.25" customHeight="1">
      <c r="B12" s="143"/>
      <c r="E12" s="144"/>
      <c r="F12" s="143"/>
      <c r="I12" s="144"/>
      <c r="J12" s="143"/>
      <c r="M12" s="144"/>
      <c r="N12" s="7"/>
    </row>
    <row r="13" ht="14.25" customHeight="1">
      <c r="B13" s="143"/>
      <c r="E13" s="144"/>
      <c r="F13" s="143"/>
      <c r="I13" s="144"/>
      <c r="J13" s="143"/>
      <c r="M13" s="144"/>
      <c r="N13" s="7"/>
    </row>
    <row r="14" ht="14.25" customHeight="1">
      <c r="B14" s="143"/>
      <c r="E14" s="144"/>
      <c r="F14" s="143"/>
      <c r="I14" s="144"/>
      <c r="J14" s="143"/>
      <c r="M14" s="144"/>
      <c r="N14" s="7"/>
    </row>
    <row r="15" ht="14.25" customHeight="1">
      <c r="B15" s="143"/>
      <c r="E15" s="144"/>
      <c r="F15" s="143"/>
      <c r="I15" s="144"/>
      <c r="J15" s="143"/>
      <c r="M15" s="144"/>
      <c r="N15" s="7"/>
    </row>
    <row r="16" ht="14.25" customHeight="1">
      <c r="B16" s="143"/>
      <c r="E16" s="144"/>
      <c r="F16" s="143"/>
      <c r="I16" s="144"/>
      <c r="J16" s="143"/>
      <c r="M16" s="144"/>
      <c r="N16" s="7"/>
    </row>
    <row r="17" ht="14.25" customHeight="1">
      <c r="B17" s="143"/>
      <c r="E17" s="144"/>
      <c r="F17" s="143"/>
      <c r="I17" s="144"/>
      <c r="J17" s="143"/>
      <c r="M17" s="144"/>
      <c r="N17" s="7"/>
    </row>
    <row r="18" ht="14.25" customHeight="1">
      <c r="B18" s="143"/>
      <c r="E18" s="144"/>
      <c r="F18" s="143"/>
      <c r="I18" s="144"/>
      <c r="J18" s="143"/>
      <c r="M18" s="144"/>
      <c r="N18" s="7"/>
    </row>
    <row r="19" ht="14.25" customHeight="1">
      <c r="B19" s="143"/>
      <c r="E19" s="144"/>
      <c r="F19" s="143"/>
      <c r="I19" s="144"/>
      <c r="J19" s="143"/>
      <c r="M19" s="144"/>
      <c r="N19" s="7"/>
    </row>
    <row r="20" ht="14.25" customHeight="1">
      <c r="B20" s="143"/>
      <c r="E20" s="144"/>
      <c r="F20" s="143"/>
      <c r="I20" s="144"/>
      <c r="J20" s="143"/>
      <c r="M20" s="144"/>
      <c r="N20" s="7"/>
    </row>
    <row r="21" ht="14.25" customHeight="1">
      <c r="B21" s="143"/>
      <c r="E21" s="144"/>
      <c r="F21" s="143"/>
      <c r="I21" s="144"/>
      <c r="J21" s="143"/>
      <c r="M21" s="144"/>
      <c r="N21" s="7"/>
    </row>
    <row r="22" ht="14.25" customHeight="1">
      <c r="B22" s="143"/>
      <c r="E22" s="144"/>
      <c r="F22" s="143"/>
      <c r="I22" s="144"/>
      <c r="J22" s="143"/>
      <c r="M22" s="144"/>
      <c r="N22" s="7"/>
    </row>
    <row r="23" ht="14.25" customHeight="1">
      <c r="B23" s="143"/>
      <c r="E23" s="144"/>
      <c r="F23" s="143"/>
      <c r="I23" s="144"/>
      <c r="J23" s="143"/>
      <c r="M23" s="144"/>
      <c r="N23" s="7"/>
    </row>
    <row r="24" ht="14.25" customHeight="1">
      <c r="B24" s="143"/>
      <c r="E24" s="144"/>
      <c r="F24" s="143"/>
      <c r="I24" s="144"/>
      <c r="J24" s="143"/>
      <c r="M24" s="144"/>
      <c r="N24" s="7"/>
    </row>
    <row r="25" ht="14.25" customHeight="1">
      <c r="B25" s="143"/>
      <c r="E25" s="144"/>
      <c r="F25" s="143"/>
      <c r="I25" s="144"/>
      <c r="J25" s="143"/>
      <c r="M25" s="144"/>
      <c r="N25" s="7"/>
    </row>
    <row r="26" ht="14.25" customHeight="1">
      <c r="B26" s="143"/>
      <c r="E26" s="144"/>
      <c r="F26" s="143"/>
      <c r="I26" s="144"/>
      <c r="J26" s="143"/>
      <c r="M26" s="144"/>
      <c r="N26" s="7"/>
    </row>
    <row r="27" ht="14.25" customHeight="1">
      <c r="B27" s="143"/>
      <c r="E27" s="144"/>
      <c r="F27" s="143"/>
      <c r="I27" s="144"/>
      <c r="J27" s="143"/>
      <c r="M27" s="144"/>
      <c r="N27" s="7"/>
    </row>
    <row r="28" ht="14.25" customHeight="1">
      <c r="B28" s="143"/>
      <c r="E28" s="144"/>
      <c r="F28" s="143"/>
      <c r="I28" s="144"/>
      <c r="J28" s="143"/>
      <c r="M28" s="144"/>
      <c r="N28" s="7"/>
    </row>
    <row r="29" ht="14.25" customHeight="1">
      <c r="B29" s="143"/>
      <c r="E29" s="144"/>
      <c r="F29" s="143"/>
      <c r="I29" s="144"/>
      <c r="J29" s="143"/>
      <c r="M29" s="144"/>
      <c r="N29" s="7"/>
    </row>
    <row r="30" ht="14.25" customHeight="1">
      <c r="B30" s="143"/>
      <c r="E30" s="144"/>
      <c r="F30" s="143"/>
      <c r="I30" s="144"/>
      <c r="J30" s="143"/>
      <c r="M30" s="144"/>
      <c r="N30" s="7"/>
    </row>
    <row r="31" ht="14.25" customHeight="1">
      <c r="B31" s="143"/>
      <c r="E31" s="144"/>
      <c r="F31" s="143"/>
      <c r="I31" s="144"/>
      <c r="J31" s="143"/>
      <c r="M31" s="144"/>
      <c r="N31" s="7"/>
    </row>
    <row r="32" ht="14.25" customHeight="1">
      <c r="B32" s="143"/>
      <c r="E32" s="144"/>
      <c r="F32" s="143"/>
      <c r="I32" s="144"/>
      <c r="J32" s="143"/>
      <c r="M32" s="144"/>
      <c r="N32" s="7"/>
    </row>
    <row r="33" ht="14.25" customHeight="1">
      <c r="B33" s="145"/>
      <c r="C33" s="146"/>
      <c r="D33" s="146"/>
      <c r="E33" s="147"/>
      <c r="F33" s="145"/>
      <c r="G33" s="146"/>
      <c r="H33" s="146"/>
      <c r="I33" s="147"/>
      <c r="J33" s="145"/>
      <c r="K33" s="146"/>
      <c r="L33" s="146"/>
      <c r="M33" s="147"/>
      <c r="N33" s="7"/>
    </row>
    <row r="34" ht="14.25" customHeight="1">
      <c r="B34" s="81"/>
      <c r="C34" s="81"/>
      <c r="D34" s="81"/>
      <c r="E34" s="81"/>
      <c r="F34" s="81"/>
      <c r="G34" s="81"/>
      <c r="H34" s="81"/>
      <c r="I34" s="81"/>
      <c r="J34" s="81"/>
      <c r="K34" s="81"/>
      <c r="L34" s="81"/>
      <c r="M34" s="81"/>
      <c r="N34" s="7"/>
    </row>
    <row r="35" ht="14.25" customHeight="1">
      <c r="B35" s="81"/>
      <c r="C35" s="81"/>
      <c r="D35" s="81"/>
      <c r="E35" s="81"/>
      <c r="F35" s="81"/>
      <c r="G35" s="81"/>
      <c r="H35" s="81"/>
      <c r="I35" s="81"/>
      <c r="J35" s="81"/>
      <c r="K35" s="81"/>
      <c r="L35" s="81"/>
      <c r="M35" s="81"/>
      <c r="N35" s="7"/>
    </row>
    <row r="36" ht="14.25" customHeight="1">
      <c r="B36" s="7"/>
      <c r="C36" s="7"/>
      <c r="D36" s="7"/>
      <c r="E36" s="7"/>
      <c r="F36" s="7"/>
      <c r="G36" s="7"/>
    </row>
    <row r="37" ht="14.25" customHeight="1">
      <c r="B37" s="7"/>
      <c r="C37" s="7"/>
      <c r="D37" s="7"/>
      <c r="E37" s="7"/>
      <c r="F37" s="7"/>
      <c r="G37" s="7"/>
    </row>
    <row r="38" ht="14.25" customHeight="1">
      <c r="B38" s="7"/>
      <c r="C38" s="7"/>
      <c r="D38" s="7"/>
      <c r="E38" s="7"/>
      <c r="F38" s="7"/>
      <c r="G38" s="7"/>
    </row>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1">
    <mergeCell ref="B10:E10"/>
    <mergeCell ref="B11:E33"/>
    <mergeCell ref="F11:I33"/>
    <mergeCell ref="J11:M33"/>
    <mergeCell ref="H1:M3"/>
    <mergeCell ref="B5:D5"/>
    <mergeCell ref="E5:M5"/>
    <mergeCell ref="B6:D8"/>
    <mergeCell ref="E6:M8"/>
    <mergeCell ref="F10:I10"/>
    <mergeCell ref="J10:M10"/>
  </mergeCells>
  <conditionalFormatting sqref="B6">
    <cfRule type="cellIs" dxfId="0" priority="1" operator="greaterThan">
      <formula>3.5</formula>
    </cfRule>
  </conditionalFormatting>
  <conditionalFormatting sqref="B6">
    <cfRule type="cellIs" dxfId="4" priority="2" operator="between">
      <formula>2.4</formula>
      <formula>3.4</formula>
    </cfRule>
  </conditionalFormatting>
  <conditionalFormatting sqref="B6">
    <cfRule type="cellIs" dxfId="5" priority="3" operator="between">
      <formula>1.5</formula>
      <formula>2.3</formula>
    </cfRule>
  </conditionalFormatting>
  <conditionalFormatting sqref="B6">
    <cfRule type="cellIs" dxfId="6" priority="4" operator="lessThanOrEqual">
      <formula>1.4</formula>
    </cfRule>
  </conditionalFormatting>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showGridLines="0" workbookViewId="0"/>
  </sheetViews>
  <sheetFormatPr customHeight="1" defaultColWidth="14.43" defaultRowHeight="15.0"/>
  <cols>
    <col customWidth="1" min="1" max="1" width="8.86"/>
    <col customWidth="1" min="2" max="2" width="8.71"/>
    <col customWidth="1" min="3" max="3" width="2.29"/>
    <col customWidth="1" min="4" max="26" width="8.71"/>
  </cols>
  <sheetData>
    <row r="1" ht="14.25" customHeight="1">
      <c r="A1" s="148"/>
      <c r="B1" s="149"/>
      <c r="C1" s="5" t="s">
        <v>246</v>
      </c>
    </row>
    <row r="2" ht="4.5" customHeight="1">
      <c r="A2" s="150"/>
      <c r="B2" s="149"/>
    </row>
    <row r="3" ht="14.25" customHeight="1">
      <c r="A3" s="151" t="s">
        <v>247</v>
      </c>
      <c r="B3" s="149"/>
      <c r="C3" s="5" t="s">
        <v>248</v>
      </c>
    </row>
    <row r="4" ht="14.25" customHeight="1">
      <c r="A4" s="152"/>
      <c r="B4" s="149"/>
      <c r="C4" s="5"/>
      <c r="D4" s="5"/>
      <c r="E4" s="5"/>
      <c r="F4" s="5"/>
      <c r="G4" s="5"/>
      <c r="H4" s="5"/>
      <c r="I4" s="5"/>
      <c r="J4" s="5"/>
      <c r="K4" s="5"/>
      <c r="L4" s="5"/>
      <c r="M4" s="5"/>
      <c r="N4" s="7"/>
      <c r="O4" s="7"/>
      <c r="P4" s="7"/>
      <c r="Q4" s="7"/>
      <c r="R4" s="7"/>
      <c r="S4" s="7"/>
      <c r="T4" s="7"/>
      <c r="U4" s="7"/>
      <c r="V4" s="7"/>
      <c r="W4" s="7"/>
      <c r="X4" s="7"/>
      <c r="Y4" s="7"/>
      <c r="Z4" s="7"/>
    </row>
    <row r="5" ht="14.25" customHeight="1">
      <c r="A5" s="152"/>
      <c r="B5" s="149"/>
      <c r="C5" s="153">
        <f>'Matrix - Part 2'!I28</f>
        <v>0</v>
      </c>
    </row>
    <row r="6" ht="14.25" customHeight="1">
      <c r="A6" s="152"/>
      <c r="B6" s="149"/>
    </row>
    <row r="7" ht="20.25" customHeight="1">
      <c r="A7" s="152"/>
      <c r="B7" s="149"/>
      <c r="C7" s="154" t="str">
        <f>VLOOKUP('Report - Part 2'!C5,'Matrix - Part 2'!A33:B62,2,FALSE)</f>
        <v>#N/A</v>
      </c>
      <c r="N7" s="7"/>
      <c r="O7" s="7"/>
      <c r="P7" s="7"/>
      <c r="Q7" s="7"/>
      <c r="R7" s="7"/>
      <c r="S7" s="7"/>
      <c r="T7" s="7"/>
      <c r="U7" s="7"/>
      <c r="V7" s="7"/>
      <c r="W7" s="7"/>
      <c r="X7" s="7"/>
      <c r="Y7" s="7"/>
      <c r="Z7" s="7"/>
    </row>
    <row r="8" ht="14.25" customHeight="1">
      <c r="A8" s="152"/>
      <c r="B8" s="149"/>
      <c r="D8" s="117"/>
      <c r="E8" s="117"/>
      <c r="F8" s="117"/>
      <c r="G8" s="117"/>
      <c r="H8" s="117"/>
      <c r="I8" s="117"/>
      <c r="J8" s="117"/>
      <c r="K8" s="117"/>
      <c r="L8" s="117"/>
    </row>
    <row r="9" ht="14.25" customHeight="1">
      <c r="A9" s="152"/>
      <c r="B9" s="149"/>
      <c r="C9" s="155" t="s">
        <v>249</v>
      </c>
      <c r="D9" s="156" t="str">
        <f>IFERROR(VLOOKUP('Matrix - Part 2'!I5,'Matrix - Part 2'!G6:H6,2,FALSE),"")&amp;CHAR(10)&amp;""&amp;CHAR(10)&amp;IFERROR(VLOOKUP('Matrix - Part 2'!I10,'Matrix - Part 2'!G12:H12,2,FALSE),"")&amp;CHAR(10)&amp;""&amp;CHAR(10)&amp;IFERROR(VLOOKUP('Matrix - Part 2'!#REF!,'Matrix - Part 2'!#REF!,2,FALSE),"")&amp;CHAR(10)&amp;""&amp;CHAR(10)&amp;IFERROR(VLOOKUP('Matrix - Part 2'!I16,'Matrix - Part 2'!G18:H18,2,FALSE),"")&amp;CHAR(10)&amp;""&amp;CHAR(10)&amp;IFERROR(VLOOKUP('Matrix - Part 2'!I23,'Matrix - Part 2'!G24:H24,2,FALSE),"")</f>
        <v>#ERROR!</v>
      </c>
      <c r="E9" s="95"/>
      <c r="F9" s="95"/>
      <c r="G9" s="95"/>
      <c r="H9" s="95"/>
      <c r="I9" s="95"/>
      <c r="J9" s="95"/>
      <c r="K9" s="95"/>
      <c r="L9" s="95"/>
      <c r="M9" s="96"/>
    </row>
    <row r="10" ht="14.25" customHeight="1">
      <c r="A10" s="152"/>
      <c r="B10" s="149"/>
      <c r="C10" s="152"/>
      <c r="D10" s="97"/>
      <c r="M10" s="67"/>
    </row>
    <row r="11" ht="14.25" customHeight="1">
      <c r="A11" s="152"/>
      <c r="B11" s="149"/>
      <c r="C11" s="152"/>
      <c r="D11" s="97"/>
      <c r="M11" s="67"/>
    </row>
    <row r="12" ht="14.25" customHeight="1">
      <c r="A12" s="152"/>
      <c r="B12" s="149"/>
      <c r="C12" s="152"/>
      <c r="D12" s="97"/>
      <c r="M12" s="67"/>
    </row>
    <row r="13" ht="14.25" customHeight="1">
      <c r="A13" s="152"/>
      <c r="B13" s="149"/>
      <c r="C13" s="152"/>
      <c r="D13" s="97"/>
      <c r="M13" s="67"/>
    </row>
    <row r="14" ht="14.25" customHeight="1">
      <c r="A14" s="152"/>
      <c r="B14" s="149"/>
      <c r="C14" s="152"/>
      <c r="D14" s="97"/>
      <c r="M14" s="67"/>
    </row>
    <row r="15" ht="14.25" customHeight="1">
      <c r="A15" s="152"/>
      <c r="B15" s="149"/>
      <c r="C15" s="152"/>
      <c r="D15" s="97"/>
      <c r="M15" s="67"/>
    </row>
    <row r="16" ht="75.0" customHeight="1">
      <c r="A16" s="152"/>
      <c r="B16" s="149"/>
      <c r="C16" s="157"/>
      <c r="D16" s="158"/>
      <c r="E16" s="159"/>
      <c r="F16" s="159"/>
      <c r="G16" s="159"/>
      <c r="H16" s="159"/>
      <c r="I16" s="159"/>
      <c r="J16" s="159"/>
      <c r="K16" s="159"/>
      <c r="L16" s="159"/>
      <c r="M16" s="160"/>
    </row>
    <row r="17" ht="14.25" customHeight="1">
      <c r="A17" s="152"/>
      <c r="B17" s="149"/>
      <c r="C17" s="161" t="s">
        <v>250</v>
      </c>
      <c r="D17" s="156" t="str">
        <f>IFERROR(VLOOKUP('Matrix - Part 2'!I10,'Matrix - Part 2'!G11:H11,2,FALSE),"")&amp;CHAR(10)&amp;""&amp;CHAR(10)&amp;IFERROR(VLOOKUP('Matrix - Part 2'!#REF!,'Matrix - Part 2'!#REF!,2,FALSE),"")&amp;CHAR(10)&amp;""&amp;CHAR(10)&amp;IFERROR(VLOOKUP('Matrix - Part 2'!I16,'Matrix - Part 2'!G17:H17,2,FALSE),"")&amp;CHAR(10)&amp;""&amp;CHAR(10)&amp;IFERROR(VLOOKUP('Matrix - Part 2'!I23,'Matrix - Part 2'!G23:H23,2,FALSE),"")</f>
        <v>#ERROR!</v>
      </c>
      <c r="E17" s="95"/>
      <c r="F17" s="95"/>
      <c r="G17" s="95"/>
      <c r="H17" s="95"/>
      <c r="I17" s="95"/>
      <c r="J17" s="95"/>
      <c r="K17" s="95"/>
      <c r="L17" s="95"/>
      <c r="M17" s="96"/>
    </row>
    <row r="18" ht="14.25" customHeight="1">
      <c r="A18" s="152"/>
      <c r="B18" s="149"/>
      <c r="C18" s="152"/>
      <c r="D18" s="97"/>
      <c r="M18" s="67"/>
    </row>
    <row r="19" ht="14.25" customHeight="1">
      <c r="A19" s="152"/>
      <c r="B19" s="149"/>
      <c r="C19" s="152"/>
      <c r="D19" s="97"/>
      <c r="M19" s="67"/>
    </row>
    <row r="20" ht="14.25" customHeight="1">
      <c r="A20" s="152"/>
      <c r="B20" s="149"/>
      <c r="C20" s="152"/>
      <c r="D20" s="97"/>
      <c r="M20" s="67"/>
    </row>
    <row r="21" ht="14.25" customHeight="1">
      <c r="A21" s="152"/>
      <c r="B21" s="149"/>
      <c r="C21" s="152"/>
      <c r="D21" s="97"/>
      <c r="M21" s="67"/>
    </row>
    <row r="22" ht="14.25" customHeight="1">
      <c r="A22" s="152"/>
      <c r="B22" s="149"/>
      <c r="C22" s="152"/>
      <c r="D22" s="97"/>
      <c r="M22" s="67"/>
    </row>
    <row r="23" ht="14.25" customHeight="1">
      <c r="A23" s="157"/>
      <c r="B23" s="149"/>
      <c r="C23" s="152"/>
      <c r="D23" s="97"/>
      <c r="M23" s="67"/>
    </row>
    <row r="24" ht="14.25" customHeight="1">
      <c r="A24" s="150"/>
      <c r="B24" s="149"/>
      <c r="C24" s="157"/>
      <c r="D24" s="158"/>
      <c r="E24" s="159"/>
      <c r="F24" s="159"/>
      <c r="G24" s="159"/>
      <c r="H24" s="159"/>
      <c r="I24" s="159"/>
      <c r="J24" s="159"/>
      <c r="K24" s="159"/>
      <c r="L24" s="159"/>
      <c r="M24" s="160"/>
    </row>
    <row r="25" ht="14.25" customHeight="1">
      <c r="A25" s="150"/>
      <c r="B25" s="149"/>
      <c r="C25" s="162" t="s">
        <v>251</v>
      </c>
      <c r="D25" s="156" t="str">
        <f>IFERROR(VLOOKUP('Matrix - Part 2'!I5,'Matrix - Part 2'!G5:H5,2,FALSE),"")</f>
        <v/>
      </c>
      <c r="E25" s="95"/>
      <c r="F25" s="95"/>
      <c r="G25" s="95"/>
      <c r="H25" s="95"/>
      <c r="I25" s="95"/>
      <c r="J25" s="95"/>
      <c r="K25" s="95"/>
      <c r="L25" s="95"/>
      <c r="M25" s="96"/>
    </row>
    <row r="26" ht="14.25" customHeight="1">
      <c r="A26" s="150"/>
      <c r="B26" s="149"/>
      <c r="C26" s="152"/>
      <c r="D26" s="97"/>
      <c r="M26" s="67"/>
    </row>
    <row r="27" ht="14.25" customHeight="1">
      <c r="A27" s="150"/>
      <c r="B27" s="149"/>
      <c r="C27" s="152"/>
      <c r="D27" s="97"/>
      <c r="M27" s="67"/>
    </row>
    <row r="28" ht="14.25" customHeight="1">
      <c r="A28" s="150"/>
      <c r="B28" s="149"/>
      <c r="C28" s="152"/>
      <c r="D28" s="97"/>
      <c r="M28" s="67"/>
    </row>
    <row r="29" ht="14.25" customHeight="1">
      <c r="A29" s="150"/>
      <c r="B29" s="149"/>
      <c r="C29" s="152"/>
      <c r="D29" s="97"/>
      <c r="M29" s="67"/>
    </row>
    <row r="30" ht="14.25" customHeight="1">
      <c r="A30" s="150"/>
      <c r="B30" s="149"/>
      <c r="C30" s="152"/>
      <c r="D30" s="97"/>
      <c r="M30" s="67"/>
    </row>
    <row r="31" ht="14.25" customHeight="1">
      <c r="A31" s="150"/>
      <c r="B31" s="149"/>
      <c r="C31" s="152"/>
      <c r="D31" s="97"/>
      <c r="M31" s="67"/>
    </row>
    <row r="32" ht="14.25" customHeight="1">
      <c r="A32" s="150"/>
      <c r="B32" s="149"/>
      <c r="C32" s="157"/>
      <c r="D32" s="158"/>
      <c r="E32" s="159"/>
      <c r="F32" s="159"/>
      <c r="G32" s="159"/>
      <c r="H32" s="159"/>
      <c r="I32" s="159"/>
      <c r="J32" s="159"/>
      <c r="K32" s="159"/>
      <c r="L32" s="159"/>
      <c r="M32" s="160"/>
    </row>
    <row r="33" ht="14.25" customHeight="1">
      <c r="A33" s="149"/>
      <c r="B33" s="149"/>
    </row>
    <row r="34" ht="14.25" customHeight="1">
      <c r="A34" s="149"/>
      <c r="B34" s="149"/>
    </row>
    <row r="35" ht="14.25" customHeight="1">
      <c r="A35" s="149"/>
      <c r="B35" s="149"/>
    </row>
    <row r="36" ht="14.25" customHeight="1">
      <c r="A36" s="149"/>
      <c r="B36" s="149"/>
    </row>
    <row r="37" ht="14.25" customHeight="1">
      <c r="B37" s="7"/>
    </row>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1">
    <mergeCell ref="C17:C24"/>
    <mergeCell ref="D17:M24"/>
    <mergeCell ref="C25:C32"/>
    <mergeCell ref="D25:M32"/>
    <mergeCell ref="C1:M2"/>
    <mergeCell ref="A3:A23"/>
    <mergeCell ref="C3:M3"/>
    <mergeCell ref="C5:M6"/>
    <mergeCell ref="C7:M7"/>
    <mergeCell ref="C9:C16"/>
    <mergeCell ref="D9:M16"/>
  </mergeCells>
  <conditionalFormatting sqref="C5">
    <cfRule type="cellIs" dxfId="0" priority="1" operator="greaterThan">
      <formula>3.5</formula>
    </cfRule>
  </conditionalFormatting>
  <conditionalFormatting sqref="C5">
    <cfRule type="cellIs" dxfId="4" priority="2" operator="between">
      <formula>2.4</formula>
      <formula>3.3</formula>
    </cfRule>
  </conditionalFormatting>
  <conditionalFormatting sqref="C5">
    <cfRule type="cellIs" dxfId="5" priority="3" operator="between">
      <formula>1.5</formula>
      <formula>2.3</formula>
    </cfRule>
  </conditionalFormatting>
  <conditionalFormatting sqref="C5">
    <cfRule type="cellIs" dxfId="6" priority="4" operator="lessThanOrEqual">
      <formula>1.4</formula>
    </cfRule>
  </conditionalFormatting>
  <conditionalFormatting sqref="C7:M7">
    <cfRule type="expression" dxfId="7" priority="5">
      <formula>IdentifyColor(B5)=HEX2DEC("FFE999")</formula>
    </cfRule>
  </conditionalFormatting>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4.43" defaultRowHeight="15.0"/>
  <cols>
    <col customWidth="1" min="1" max="1" width="17.29"/>
    <col customWidth="1" min="2" max="2" width="55.29"/>
    <col customWidth="1" min="3" max="3" width="32.29"/>
    <col customWidth="1" min="4" max="4" width="11.29"/>
    <col customWidth="1" min="5" max="5" width="25.29"/>
    <col customWidth="1" min="6" max="7" width="8.71"/>
    <col customWidth="1" min="8" max="8" width="195.29"/>
    <col customWidth="1" min="9" max="9" width="27.71"/>
    <col customWidth="1" min="10" max="26" width="8.71"/>
  </cols>
  <sheetData>
    <row r="1" ht="14.25" customHeight="1">
      <c r="A1" s="107" t="s">
        <v>252</v>
      </c>
      <c r="K1" s="7"/>
      <c r="L1" s="7"/>
      <c r="M1" s="7"/>
      <c r="N1" s="7"/>
      <c r="O1" s="7"/>
      <c r="P1" s="7"/>
      <c r="Q1" s="7"/>
      <c r="R1" s="7"/>
      <c r="S1" s="7"/>
      <c r="T1" s="7"/>
      <c r="U1" s="7"/>
      <c r="V1" s="7"/>
      <c r="W1" s="7"/>
      <c r="X1" s="7"/>
      <c r="Y1" s="7"/>
      <c r="Z1" s="7"/>
    </row>
    <row r="2" ht="14.25" customHeight="1">
      <c r="A2" s="107"/>
      <c r="B2" s="107"/>
      <c r="C2" s="107"/>
      <c r="D2" s="107"/>
      <c r="E2" s="107"/>
      <c r="F2" s="107"/>
      <c r="G2" s="107"/>
      <c r="H2" s="107"/>
      <c r="I2" s="107"/>
      <c r="J2" s="107"/>
      <c r="K2" s="7"/>
      <c r="L2" s="7"/>
      <c r="M2" s="7"/>
      <c r="N2" s="7"/>
      <c r="O2" s="7"/>
      <c r="P2" s="7"/>
      <c r="Q2" s="7"/>
      <c r="R2" s="7"/>
      <c r="S2" s="7"/>
      <c r="T2" s="7"/>
      <c r="U2" s="7"/>
      <c r="V2" s="7"/>
      <c r="W2" s="7"/>
      <c r="X2" s="7"/>
      <c r="Y2" s="7"/>
      <c r="Z2" s="7"/>
    </row>
    <row r="3" ht="14.25" customHeight="1">
      <c r="A3" s="7"/>
      <c r="B3" s="7"/>
      <c r="C3" s="7"/>
      <c r="D3" s="7"/>
      <c r="E3" s="7"/>
      <c r="F3" s="7"/>
      <c r="G3" s="7"/>
      <c r="H3" s="7"/>
      <c r="I3" s="7" t="s">
        <v>165</v>
      </c>
      <c r="J3" s="7"/>
      <c r="K3" s="7"/>
      <c r="L3" s="7"/>
      <c r="M3" s="7"/>
      <c r="N3" s="7"/>
      <c r="O3" s="7"/>
      <c r="P3" s="7"/>
      <c r="Q3" s="7"/>
      <c r="R3" s="7"/>
      <c r="S3" s="7"/>
      <c r="T3" s="7"/>
      <c r="U3" s="7"/>
      <c r="V3" s="7"/>
      <c r="W3" s="7"/>
      <c r="X3" s="7"/>
      <c r="Y3" s="7"/>
      <c r="Z3" s="7"/>
    </row>
    <row r="4" ht="14.25" customHeight="1">
      <c r="A4" s="56" t="s">
        <v>253</v>
      </c>
      <c r="B4" s="116" t="s">
        <v>254</v>
      </c>
      <c r="C4" s="7" t="s">
        <v>178</v>
      </c>
      <c r="D4" s="7" t="s">
        <v>162</v>
      </c>
      <c r="E4" s="7" t="s">
        <v>163</v>
      </c>
      <c r="F4" s="7" t="s">
        <v>255</v>
      </c>
      <c r="G4" s="131">
        <v>1.0</v>
      </c>
      <c r="H4" s="7"/>
      <c r="I4" s="111" t="str">
        <f>IFERROR(VLOOKUP('Answer Sheet'!J14,'Matrix - Part 3'!F5:G6,2,FALSE),"0")</f>
        <v>0</v>
      </c>
      <c r="J4" s="7"/>
      <c r="K4" s="7"/>
      <c r="L4" s="7"/>
      <c r="M4" s="7"/>
      <c r="N4" s="7"/>
      <c r="O4" s="7"/>
      <c r="P4" s="7"/>
      <c r="Q4" s="7"/>
      <c r="R4" s="7"/>
      <c r="S4" s="7"/>
      <c r="T4" s="7"/>
      <c r="U4" s="7"/>
      <c r="V4" s="7"/>
      <c r="W4" s="7"/>
      <c r="X4" s="7"/>
      <c r="Y4" s="7"/>
      <c r="Z4" s="7"/>
    </row>
    <row r="5" ht="14.25" customHeight="1">
      <c r="C5" s="7" t="s">
        <v>256</v>
      </c>
      <c r="D5" s="7" t="s">
        <v>181</v>
      </c>
      <c r="E5" s="7" t="s">
        <v>257</v>
      </c>
      <c r="F5" s="7" t="s">
        <v>258</v>
      </c>
      <c r="G5" s="132">
        <v>2.0</v>
      </c>
      <c r="H5" s="7" t="s">
        <v>259</v>
      </c>
      <c r="I5" s="55" t="str">
        <f>IFERROR(VLOOKUP('Answer Sheet'!L14,F5:G6,2,FALSE),"0")</f>
        <v>0</v>
      </c>
      <c r="J5" s="7"/>
      <c r="K5" s="7"/>
      <c r="L5" s="7"/>
      <c r="M5" s="7"/>
      <c r="N5" s="7"/>
      <c r="O5" s="7"/>
      <c r="P5" s="7"/>
      <c r="Q5" s="7"/>
      <c r="R5" s="7"/>
      <c r="S5" s="7"/>
      <c r="T5" s="7"/>
      <c r="U5" s="7"/>
      <c r="V5" s="7"/>
      <c r="W5" s="7"/>
      <c r="X5" s="7"/>
      <c r="Y5" s="7"/>
      <c r="Z5" s="7"/>
    </row>
    <row r="6" ht="14.25" customHeight="1">
      <c r="A6" s="7"/>
      <c r="B6" s="7"/>
      <c r="C6" s="7" t="s">
        <v>260</v>
      </c>
      <c r="D6" s="7" t="s">
        <v>185</v>
      </c>
      <c r="E6" s="7" t="s">
        <v>168</v>
      </c>
      <c r="F6" s="7" t="s">
        <v>261</v>
      </c>
      <c r="G6" s="132">
        <v>2.0</v>
      </c>
      <c r="H6" s="7" t="s">
        <v>259</v>
      </c>
      <c r="I6" s="55"/>
      <c r="J6" s="7"/>
      <c r="K6" s="7"/>
      <c r="L6" s="7"/>
      <c r="M6" s="7"/>
      <c r="N6" s="7"/>
      <c r="O6" s="7"/>
      <c r="P6" s="7"/>
      <c r="Q6" s="7"/>
      <c r="R6" s="7"/>
      <c r="S6" s="7"/>
      <c r="T6" s="7"/>
      <c r="U6" s="7"/>
      <c r="V6" s="7"/>
      <c r="W6" s="7"/>
      <c r="X6" s="7"/>
      <c r="Y6" s="7"/>
      <c r="Z6" s="7"/>
    </row>
    <row r="7" ht="14.25" customHeight="1">
      <c r="A7" s="7"/>
      <c r="B7" s="7"/>
      <c r="C7" s="7"/>
      <c r="D7" s="7"/>
      <c r="E7" s="7"/>
      <c r="F7" s="7"/>
      <c r="G7" s="111"/>
      <c r="H7" s="7"/>
      <c r="I7" s="55"/>
      <c r="J7" s="7"/>
      <c r="K7" s="7"/>
      <c r="L7" s="7"/>
      <c r="M7" s="7"/>
      <c r="N7" s="7"/>
      <c r="O7" s="7"/>
      <c r="P7" s="7"/>
      <c r="Q7" s="7"/>
      <c r="R7" s="7"/>
      <c r="S7" s="7"/>
      <c r="T7" s="7"/>
      <c r="U7" s="7"/>
      <c r="V7" s="7"/>
      <c r="W7" s="7"/>
      <c r="X7" s="7"/>
      <c r="Y7" s="7"/>
      <c r="Z7" s="7"/>
    </row>
    <row r="8" ht="14.25" customHeight="1">
      <c r="A8" s="109" t="s">
        <v>262</v>
      </c>
      <c r="B8" s="116" t="s">
        <v>263</v>
      </c>
      <c r="C8" s="7" t="s">
        <v>264</v>
      </c>
      <c r="D8" s="7" t="s">
        <v>265</v>
      </c>
      <c r="E8" s="7" t="s">
        <v>182</v>
      </c>
      <c r="F8" s="7" t="s">
        <v>266</v>
      </c>
      <c r="G8" s="131">
        <v>1.0</v>
      </c>
      <c r="H8" s="7"/>
      <c r="I8" s="55">
        <f>IFERROR(VLOOKUP('Answer Sheet'!J15,F8:G9,2,FALSE),0)</f>
        <v>0</v>
      </c>
      <c r="J8" s="7"/>
      <c r="K8" s="7"/>
      <c r="L8" s="7"/>
      <c r="M8" s="7"/>
      <c r="N8" s="7"/>
      <c r="O8" s="7"/>
      <c r="P8" s="7"/>
      <c r="Q8" s="7"/>
      <c r="R8" s="7"/>
      <c r="S8" s="7"/>
      <c r="T8" s="7"/>
      <c r="U8" s="7"/>
      <c r="V8" s="7"/>
      <c r="W8" s="7"/>
      <c r="X8" s="7"/>
      <c r="Y8" s="7"/>
      <c r="Z8" s="7"/>
    </row>
    <row r="9" ht="14.25" customHeight="1">
      <c r="C9" s="7" t="s">
        <v>267</v>
      </c>
      <c r="D9" s="7" t="s">
        <v>197</v>
      </c>
      <c r="E9" s="7" t="s">
        <v>189</v>
      </c>
      <c r="F9" s="7" t="s">
        <v>268</v>
      </c>
      <c r="G9" s="133">
        <v>4.0</v>
      </c>
      <c r="H9" s="7" t="s">
        <v>269</v>
      </c>
      <c r="I9" s="55"/>
      <c r="J9" s="7"/>
      <c r="K9" s="7"/>
      <c r="L9" s="7"/>
      <c r="M9" s="7"/>
      <c r="N9" s="7"/>
      <c r="O9" s="7"/>
      <c r="P9" s="7"/>
      <c r="Q9" s="7"/>
      <c r="R9" s="7"/>
      <c r="S9" s="7"/>
      <c r="T9" s="7"/>
      <c r="U9" s="7"/>
      <c r="V9" s="7"/>
      <c r="W9" s="7"/>
      <c r="X9" s="7"/>
      <c r="Y9" s="7"/>
      <c r="Z9" s="7"/>
    </row>
    <row r="10" ht="14.25" customHeight="1">
      <c r="A10" s="7"/>
      <c r="B10" s="7"/>
      <c r="C10" s="7"/>
      <c r="D10" s="7"/>
      <c r="E10" s="7"/>
      <c r="F10" s="7"/>
      <c r="G10" s="7"/>
      <c r="H10" s="7"/>
      <c r="I10" s="55"/>
      <c r="J10" s="7"/>
      <c r="K10" s="7"/>
      <c r="L10" s="7"/>
      <c r="M10" s="7"/>
      <c r="N10" s="7"/>
      <c r="O10" s="7"/>
      <c r="P10" s="7"/>
      <c r="Q10" s="7"/>
      <c r="R10" s="7"/>
      <c r="S10" s="7"/>
      <c r="T10" s="7"/>
      <c r="U10" s="7"/>
      <c r="V10" s="7"/>
      <c r="W10" s="7"/>
      <c r="X10" s="7"/>
      <c r="Y10" s="7"/>
      <c r="Z10" s="7"/>
    </row>
    <row r="11" ht="14.25" customHeight="1">
      <c r="A11" s="109" t="s">
        <v>270</v>
      </c>
      <c r="B11" s="116" t="s">
        <v>271</v>
      </c>
      <c r="C11" s="7" t="s">
        <v>272</v>
      </c>
      <c r="D11" s="7" t="s">
        <v>162</v>
      </c>
      <c r="E11" s="7" t="s">
        <v>163</v>
      </c>
      <c r="F11" s="7" t="s">
        <v>273</v>
      </c>
      <c r="G11" s="131">
        <v>1.0</v>
      </c>
      <c r="H11" s="7"/>
      <c r="I11" s="55">
        <f>IFERROR(VLOOKUP('Answer Sheet'!J16,F11:G14,2,FALSE),0)</f>
        <v>0</v>
      </c>
      <c r="J11" s="7"/>
      <c r="K11" s="7"/>
      <c r="L11" s="7"/>
      <c r="M11" s="7"/>
      <c r="N11" s="7"/>
      <c r="O11" s="7"/>
      <c r="P11" s="7"/>
      <c r="Q11" s="7"/>
      <c r="R11" s="7"/>
      <c r="S11" s="7"/>
      <c r="T11" s="7"/>
      <c r="U11" s="7"/>
      <c r="V11" s="7"/>
      <c r="W11" s="7"/>
      <c r="X11" s="7"/>
      <c r="Y11" s="7"/>
      <c r="Z11" s="7"/>
    </row>
    <row r="12" ht="14.25" customHeight="1">
      <c r="C12" s="7" t="s">
        <v>274</v>
      </c>
      <c r="D12" s="7" t="s">
        <v>181</v>
      </c>
      <c r="E12" s="7" t="s">
        <v>182</v>
      </c>
      <c r="F12" s="7" t="s">
        <v>275</v>
      </c>
      <c r="G12" s="131">
        <v>1.0</v>
      </c>
      <c r="H12" s="7"/>
      <c r="I12" s="55"/>
      <c r="J12" s="7"/>
      <c r="K12" s="7"/>
      <c r="L12" s="7"/>
      <c r="M12" s="7"/>
      <c r="N12" s="7"/>
      <c r="O12" s="7"/>
      <c r="P12" s="7"/>
      <c r="Q12" s="7"/>
      <c r="R12" s="7"/>
      <c r="S12" s="7"/>
      <c r="T12" s="7"/>
      <c r="U12" s="7"/>
      <c r="V12" s="7"/>
      <c r="W12" s="7"/>
      <c r="X12" s="7"/>
      <c r="Y12" s="7"/>
      <c r="Z12" s="7"/>
    </row>
    <row r="13" ht="14.25" customHeight="1">
      <c r="C13" s="7" t="s">
        <v>276</v>
      </c>
      <c r="D13" s="7" t="s">
        <v>181</v>
      </c>
      <c r="E13" s="7" t="s">
        <v>257</v>
      </c>
      <c r="F13" s="7" t="s">
        <v>277</v>
      </c>
      <c r="G13" s="132">
        <v>2.0</v>
      </c>
      <c r="H13" s="7" t="s">
        <v>278</v>
      </c>
      <c r="I13" s="55"/>
      <c r="J13" s="7"/>
      <c r="K13" s="7"/>
      <c r="L13" s="7"/>
      <c r="M13" s="7"/>
      <c r="N13" s="7"/>
      <c r="O13" s="7"/>
      <c r="P13" s="7"/>
      <c r="Q13" s="7"/>
      <c r="R13" s="7"/>
      <c r="S13" s="7"/>
      <c r="T13" s="7"/>
      <c r="U13" s="7"/>
      <c r="V13" s="7"/>
      <c r="W13" s="7"/>
      <c r="X13" s="7"/>
      <c r="Y13" s="7"/>
      <c r="Z13" s="7"/>
    </row>
    <row r="14" ht="14.25" customHeight="1">
      <c r="A14" s="109"/>
      <c r="B14" s="116"/>
      <c r="C14" s="7" t="s">
        <v>279</v>
      </c>
      <c r="D14" s="7" t="s">
        <v>197</v>
      </c>
      <c r="E14" s="7" t="s">
        <v>189</v>
      </c>
      <c r="F14" s="7" t="s">
        <v>280</v>
      </c>
      <c r="G14" s="133">
        <v>4.0</v>
      </c>
      <c r="H14" s="7" t="s">
        <v>281</v>
      </c>
      <c r="I14" s="55"/>
      <c r="J14" s="7"/>
      <c r="K14" s="7"/>
      <c r="L14" s="7"/>
      <c r="M14" s="7"/>
      <c r="N14" s="7"/>
      <c r="O14" s="7"/>
      <c r="P14" s="7"/>
      <c r="Q14" s="7"/>
      <c r="R14" s="7"/>
      <c r="S14" s="7"/>
      <c r="T14" s="7"/>
      <c r="U14" s="7"/>
      <c r="V14" s="7"/>
      <c r="W14" s="7"/>
      <c r="X14" s="7"/>
      <c r="Y14" s="7"/>
      <c r="Z14" s="7"/>
    </row>
    <row r="15" ht="14.25" customHeight="1">
      <c r="A15" s="7"/>
      <c r="B15" s="7"/>
      <c r="C15" s="7"/>
      <c r="D15" s="7"/>
      <c r="E15" s="7"/>
      <c r="F15" s="7"/>
      <c r="G15" s="7"/>
      <c r="H15" s="7"/>
      <c r="I15" s="55"/>
      <c r="J15" s="7"/>
      <c r="K15" s="7"/>
      <c r="L15" s="7"/>
      <c r="M15" s="7"/>
      <c r="N15" s="7"/>
      <c r="O15" s="7"/>
      <c r="P15" s="7"/>
      <c r="Q15" s="7"/>
      <c r="R15" s="7"/>
      <c r="S15" s="7"/>
      <c r="T15" s="7"/>
      <c r="U15" s="7"/>
      <c r="V15" s="7"/>
      <c r="W15" s="7"/>
      <c r="X15" s="7"/>
      <c r="Y15" s="7"/>
      <c r="Z15" s="7"/>
    </row>
    <row r="16" ht="14.25" customHeight="1">
      <c r="A16" s="109" t="s">
        <v>282</v>
      </c>
      <c r="B16" s="116" t="s">
        <v>283</v>
      </c>
      <c r="C16" s="7" t="s">
        <v>284</v>
      </c>
      <c r="D16" s="7" t="s">
        <v>162</v>
      </c>
      <c r="E16" s="7" t="s">
        <v>163</v>
      </c>
      <c r="F16" s="7" t="s">
        <v>285</v>
      </c>
      <c r="G16" s="131">
        <v>1.0</v>
      </c>
      <c r="H16" s="7"/>
      <c r="I16" s="55" t="str">
        <f>IFERROR(VLOOKUP('Answer Sheet'!J17,F16:G18,2,FALSE),"0")</f>
        <v>0</v>
      </c>
      <c r="J16" s="7"/>
      <c r="K16" s="7"/>
      <c r="L16" s="7"/>
      <c r="M16" s="7"/>
      <c r="N16" s="7"/>
      <c r="O16" s="7"/>
      <c r="P16" s="7"/>
      <c r="Q16" s="7"/>
      <c r="R16" s="7"/>
      <c r="S16" s="7"/>
      <c r="T16" s="7"/>
      <c r="U16" s="7"/>
      <c r="V16" s="7"/>
      <c r="W16" s="7"/>
      <c r="X16" s="7"/>
      <c r="Y16" s="7"/>
      <c r="Z16" s="7"/>
    </row>
    <row r="17" ht="14.25" customHeight="1">
      <c r="C17" s="7" t="s">
        <v>161</v>
      </c>
      <c r="D17" s="7" t="s">
        <v>185</v>
      </c>
      <c r="E17" s="7" t="s">
        <v>257</v>
      </c>
      <c r="F17" s="7" t="s">
        <v>286</v>
      </c>
      <c r="G17" s="132">
        <v>2.0</v>
      </c>
      <c r="H17" s="7" t="s">
        <v>287</v>
      </c>
      <c r="I17" s="55"/>
      <c r="J17" s="7"/>
      <c r="K17" s="7"/>
      <c r="L17" s="7"/>
      <c r="M17" s="7"/>
      <c r="N17" s="7"/>
      <c r="O17" s="7"/>
      <c r="P17" s="7"/>
      <c r="Q17" s="7"/>
      <c r="R17" s="7"/>
      <c r="S17" s="7"/>
      <c r="T17" s="7"/>
      <c r="U17" s="7"/>
      <c r="V17" s="7"/>
      <c r="W17" s="7"/>
      <c r="X17" s="7"/>
      <c r="Y17" s="7"/>
      <c r="Z17" s="7"/>
    </row>
    <row r="18" ht="14.25" customHeight="1">
      <c r="C18" s="7" t="s">
        <v>267</v>
      </c>
      <c r="D18" s="7" t="s">
        <v>197</v>
      </c>
      <c r="E18" s="7" t="s">
        <v>168</v>
      </c>
      <c r="F18" s="7" t="s">
        <v>288</v>
      </c>
      <c r="G18" s="134">
        <v>3.0</v>
      </c>
      <c r="H18" s="7" t="s">
        <v>289</v>
      </c>
      <c r="I18" s="55"/>
      <c r="J18" s="7"/>
      <c r="K18" s="7"/>
      <c r="L18" s="7"/>
      <c r="M18" s="7"/>
      <c r="N18" s="7"/>
      <c r="O18" s="7"/>
      <c r="P18" s="7"/>
      <c r="Q18" s="7"/>
      <c r="R18" s="7"/>
      <c r="S18" s="7"/>
      <c r="T18" s="7"/>
      <c r="U18" s="7"/>
      <c r="V18" s="7"/>
      <c r="W18" s="7"/>
      <c r="X18" s="7"/>
      <c r="Y18" s="7"/>
      <c r="Z18" s="7"/>
    </row>
    <row r="19" ht="14.25" customHeight="1">
      <c r="A19" s="7"/>
      <c r="B19" s="7"/>
      <c r="C19" s="7"/>
      <c r="D19" s="7"/>
      <c r="E19" s="7"/>
      <c r="F19" s="7"/>
      <c r="G19" s="7"/>
      <c r="H19" s="7"/>
      <c r="I19" s="55"/>
      <c r="J19" s="7"/>
      <c r="K19" s="7"/>
      <c r="L19" s="7"/>
      <c r="M19" s="7"/>
      <c r="N19" s="7"/>
      <c r="O19" s="7"/>
      <c r="P19" s="7"/>
      <c r="Q19" s="7"/>
      <c r="R19" s="7"/>
      <c r="S19" s="7"/>
      <c r="T19" s="7"/>
      <c r="U19" s="7"/>
      <c r="V19" s="7"/>
      <c r="W19" s="7"/>
      <c r="X19" s="7"/>
      <c r="Y19" s="7"/>
      <c r="Z19" s="7"/>
    </row>
    <row r="20" ht="14.25" customHeight="1">
      <c r="A20" s="56" t="s">
        <v>290</v>
      </c>
      <c r="B20" s="108" t="s">
        <v>291</v>
      </c>
      <c r="C20" s="7" t="s">
        <v>178</v>
      </c>
      <c r="D20" s="7" t="s">
        <v>162</v>
      </c>
      <c r="E20" s="7" t="s">
        <v>163</v>
      </c>
      <c r="F20" s="7" t="s">
        <v>292</v>
      </c>
      <c r="G20" s="131">
        <v>1.0</v>
      </c>
      <c r="H20" s="7"/>
      <c r="I20" s="55">
        <f>IFERROR(VLOOKUP('Answer Sheet'!J18,F20:G23,2,FALSE),0)</f>
        <v>0</v>
      </c>
      <c r="J20" s="7"/>
      <c r="K20" s="7"/>
      <c r="L20" s="7"/>
      <c r="M20" s="7"/>
      <c r="N20" s="7"/>
      <c r="O20" s="7"/>
      <c r="P20" s="7"/>
      <c r="Q20" s="7"/>
      <c r="R20" s="7"/>
      <c r="S20" s="7"/>
      <c r="T20" s="7"/>
      <c r="U20" s="7"/>
      <c r="V20" s="7"/>
      <c r="W20" s="7"/>
      <c r="X20" s="7"/>
      <c r="Y20" s="7"/>
      <c r="Z20" s="7"/>
    </row>
    <row r="21" ht="14.25" customHeight="1">
      <c r="C21" s="7" t="s">
        <v>267</v>
      </c>
      <c r="D21" s="7" t="s">
        <v>162</v>
      </c>
      <c r="E21" s="7" t="s">
        <v>163</v>
      </c>
      <c r="F21" s="7" t="s">
        <v>293</v>
      </c>
      <c r="G21" s="131">
        <v>1.0</v>
      </c>
      <c r="H21" s="7"/>
      <c r="I21" s="55"/>
      <c r="J21" s="7"/>
      <c r="K21" s="7"/>
      <c r="L21" s="7"/>
      <c r="M21" s="7"/>
      <c r="N21" s="7"/>
      <c r="O21" s="7"/>
      <c r="P21" s="7"/>
      <c r="Q21" s="7"/>
      <c r="R21" s="7"/>
      <c r="S21" s="7"/>
      <c r="T21" s="7"/>
      <c r="U21" s="7"/>
      <c r="V21" s="7"/>
      <c r="W21" s="7"/>
      <c r="X21" s="7"/>
      <c r="Y21" s="7"/>
      <c r="Z21" s="7"/>
    </row>
    <row r="22" ht="14.25" customHeight="1">
      <c r="C22" s="7" t="s">
        <v>161</v>
      </c>
      <c r="D22" s="7" t="s">
        <v>185</v>
      </c>
      <c r="E22" s="7" t="s">
        <v>257</v>
      </c>
      <c r="F22" s="7" t="s">
        <v>294</v>
      </c>
      <c r="G22" s="132">
        <v>2.0</v>
      </c>
      <c r="H22" s="7" t="s">
        <v>295</v>
      </c>
      <c r="I22" s="55"/>
      <c r="J22" s="7"/>
      <c r="K22" s="7"/>
      <c r="L22" s="7"/>
      <c r="M22" s="7"/>
      <c r="N22" s="7"/>
      <c r="O22" s="7"/>
      <c r="P22" s="7"/>
      <c r="Q22" s="7"/>
      <c r="R22" s="7"/>
      <c r="S22" s="7"/>
      <c r="T22" s="7"/>
      <c r="U22" s="7"/>
      <c r="V22" s="7"/>
      <c r="W22" s="7"/>
      <c r="X22" s="7"/>
      <c r="Y22" s="7"/>
      <c r="Z22" s="7"/>
    </row>
    <row r="23" ht="14.25" customHeight="1">
      <c r="A23" s="7"/>
      <c r="B23" s="7"/>
      <c r="C23" s="7" t="s">
        <v>264</v>
      </c>
      <c r="D23" s="7" t="s">
        <v>172</v>
      </c>
      <c r="E23" s="7" t="s">
        <v>216</v>
      </c>
      <c r="F23" s="7" t="s">
        <v>296</v>
      </c>
      <c r="G23" s="133">
        <v>4.0</v>
      </c>
      <c r="H23" s="7" t="s">
        <v>297</v>
      </c>
      <c r="I23" s="7"/>
      <c r="J23" s="7"/>
      <c r="K23" s="7"/>
      <c r="L23" s="7"/>
      <c r="M23" s="7"/>
      <c r="N23" s="7"/>
      <c r="O23" s="7"/>
      <c r="P23" s="7"/>
      <c r="Q23" s="7"/>
      <c r="R23" s="7"/>
      <c r="S23" s="7"/>
      <c r="T23" s="7"/>
      <c r="U23" s="7"/>
      <c r="V23" s="7"/>
      <c r="W23" s="7"/>
      <c r="X23" s="7"/>
      <c r="Y23" s="7"/>
      <c r="Z23" s="7"/>
    </row>
    <row r="24" ht="14.25" customHeight="1">
      <c r="A24" s="7"/>
      <c r="B24" s="7"/>
      <c r="C24" s="7"/>
      <c r="D24" s="7"/>
      <c r="E24" s="7"/>
      <c r="F24" s="7"/>
      <c r="G24" s="7"/>
      <c r="H24" s="7"/>
      <c r="I24" s="55">
        <f>SUM(I4:I22)</f>
        <v>0</v>
      </c>
      <c r="J24" s="7"/>
      <c r="K24" s="7"/>
      <c r="L24" s="7"/>
      <c r="M24" s="7"/>
      <c r="N24" s="7"/>
      <c r="O24" s="7"/>
      <c r="P24" s="7"/>
      <c r="Q24" s="7"/>
      <c r="R24" s="7"/>
      <c r="S24" s="7"/>
      <c r="T24" s="7"/>
      <c r="U24" s="7"/>
      <c r="V24" s="7"/>
      <c r="W24" s="7"/>
      <c r="X24" s="7"/>
      <c r="Y24" s="7"/>
      <c r="Z24" s="7"/>
    </row>
    <row r="25" ht="14.25" customHeight="1">
      <c r="A25" s="7"/>
      <c r="B25" s="7"/>
      <c r="C25" s="7"/>
      <c r="D25" s="7"/>
      <c r="E25" s="7"/>
      <c r="F25" s="7"/>
      <c r="G25" s="7"/>
      <c r="H25" s="7"/>
      <c r="I25" s="55">
        <f>COUNTIF(I4:I20,"&gt;0.9")</f>
        <v>0</v>
      </c>
      <c r="J25" s="7"/>
      <c r="K25" s="7"/>
      <c r="L25" s="7"/>
      <c r="M25" s="7"/>
      <c r="N25" s="7"/>
      <c r="O25" s="7"/>
      <c r="P25" s="7"/>
      <c r="Q25" s="7"/>
      <c r="R25" s="7"/>
      <c r="S25" s="7"/>
      <c r="T25" s="7"/>
      <c r="U25" s="7"/>
      <c r="V25" s="7"/>
      <c r="W25" s="7"/>
      <c r="X25" s="7"/>
      <c r="Y25" s="7"/>
      <c r="Z25" s="7"/>
    </row>
    <row r="26" ht="14.25" customHeight="1">
      <c r="A26" s="7"/>
      <c r="B26" s="7"/>
      <c r="C26" s="7"/>
      <c r="D26" s="7"/>
      <c r="E26" s="7"/>
      <c r="F26" s="7"/>
      <c r="G26" s="7"/>
      <c r="H26" s="130" t="s">
        <v>219</v>
      </c>
      <c r="I26" s="55">
        <f>IFERROR(ROUND(I24/I25,1),0)</f>
        <v>0</v>
      </c>
      <c r="J26" s="7"/>
      <c r="K26" s="7"/>
      <c r="L26" s="7"/>
      <c r="M26" s="7"/>
      <c r="N26" s="7"/>
      <c r="O26" s="7"/>
      <c r="P26" s="7"/>
      <c r="Q26" s="7"/>
      <c r="R26" s="7"/>
      <c r="S26" s="7"/>
      <c r="T26" s="7"/>
      <c r="U26" s="7"/>
      <c r="V26" s="7"/>
      <c r="W26" s="7"/>
      <c r="X26" s="7"/>
      <c r="Y26" s="7"/>
      <c r="Z26" s="7"/>
    </row>
    <row r="27" ht="14.25" customHeight="1">
      <c r="A27" s="7"/>
      <c r="B27" s="7"/>
      <c r="C27" s="7"/>
      <c r="D27" s="7"/>
      <c r="E27" s="7"/>
      <c r="F27" s="7"/>
      <c r="G27" s="7"/>
      <c r="H27" s="7"/>
      <c r="I27" s="7"/>
      <c r="J27" s="7"/>
      <c r="K27" s="7"/>
      <c r="L27" s="7"/>
      <c r="M27" s="7"/>
      <c r="N27" s="7"/>
      <c r="O27" s="7"/>
      <c r="P27" s="7"/>
      <c r="Q27" s="7"/>
      <c r="R27" s="7"/>
      <c r="S27" s="7"/>
      <c r="T27" s="7"/>
      <c r="U27" s="7"/>
      <c r="V27" s="7"/>
      <c r="W27" s="7"/>
      <c r="X27" s="7"/>
      <c r="Y27" s="7"/>
      <c r="Z27" s="7"/>
    </row>
    <row r="28" ht="14.25" customHeight="1">
      <c r="A28" s="135" t="s">
        <v>220</v>
      </c>
      <c r="K28" s="7"/>
      <c r="L28" s="7"/>
      <c r="M28" s="7"/>
      <c r="N28" s="7"/>
      <c r="O28" s="7"/>
      <c r="P28" s="7"/>
      <c r="Q28" s="7"/>
      <c r="R28" s="7"/>
      <c r="S28" s="7"/>
      <c r="T28" s="7"/>
      <c r="U28" s="7"/>
      <c r="V28" s="7"/>
      <c r="W28" s="7"/>
      <c r="X28" s="7"/>
      <c r="Y28" s="7"/>
      <c r="Z28" s="7"/>
    </row>
    <row r="29" ht="14.25" customHeight="1">
      <c r="A29" s="7"/>
      <c r="B29" s="7"/>
      <c r="C29" s="7"/>
      <c r="D29" s="7"/>
      <c r="E29" s="7"/>
      <c r="F29" s="7"/>
      <c r="G29" s="7"/>
      <c r="H29" s="7"/>
      <c r="I29" s="7"/>
      <c r="J29" s="7"/>
      <c r="K29" s="7"/>
      <c r="L29" s="7"/>
      <c r="M29" s="7"/>
      <c r="N29" s="7"/>
      <c r="O29" s="7"/>
      <c r="P29" s="7"/>
      <c r="Q29" s="7"/>
      <c r="R29" s="7"/>
      <c r="S29" s="7"/>
      <c r="T29" s="7"/>
      <c r="U29" s="7"/>
      <c r="V29" s="7"/>
      <c r="W29" s="7"/>
      <c r="X29" s="7"/>
      <c r="Y29" s="7"/>
      <c r="Z29" s="7"/>
    </row>
    <row r="30" ht="14.25" customHeight="1">
      <c r="A30" s="111" t="s">
        <v>221</v>
      </c>
      <c r="B30" s="7" t="s">
        <v>222</v>
      </c>
      <c r="C30" s="7"/>
      <c r="D30" s="7"/>
      <c r="E30" s="7"/>
      <c r="F30" s="7"/>
      <c r="G30" s="7"/>
      <c r="H30" s="7"/>
      <c r="I30" s="7"/>
      <c r="J30" s="7"/>
      <c r="K30" s="7"/>
      <c r="L30" s="7"/>
      <c r="M30" s="7"/>
      <c r="N30" s="7"/>
      <c r="O30" s="7"/>
      <c r="P30" s="7"/>
      <c r="Q30" s="7"/>
      <c r="R30" s="7"/>
      <c r="S30" s="7"/>
      <c r="T30" s="7"/>
      <c r="U30" s="7"/>
      <c r="V30" s="7"/>
      <c r="W30" s="7"/>
      <c r="X30" s="7"/>
      <c r="Y30" s="7"/>
      <c r="Z30" s="7"/>
    </row>
    <row r="31" ht="14.25" customHeight="1">
      <c r="A31" s="136">
        <v>1.0</v>
      </c>
      <c r="B31" s="7" t="s">
        <v>298</v>
      </c>
      <c r="C31" s="7"/>
      <c r="D31" s="7"/>
      <c r="E31" s="7"/>
      <c r="F31" s="7"/>
      <c r="G31" s="7"/>
      <c r="H31" s="7"/>
      <c r="I31" s="7"/>
      <c r="J31" s="7"/>
      <c r="K31" s="7"/>
      <c r="L31" s="7"/>
      <c r="M31" s="7"/>
      <c r="N31" s="7"/>
      <c r="O31" s="7"/>
      <c r="P31" s="7"/>
      <c r="Q31" s="7"/>
      <c r="R31" s="7"/>
      <c r="S31" s="7"/>
      <c r="T31" s="7"/>
      <c r="U31" s="7"/>
      <c r="V31" s="7"/>
      <c r="W31" s="7"/>
      <c r="X31" s="7"/>
      <c r="Y31" s="7"/>
      <c r="Z31" s="7"/>
    </row>
    <row r="32" ht="14.25" customHeight="1">
      <c r="A32" s="136">
        <v>1.2</v>
      </c>
      <c r="B32" s="7" t="s">
        <v>298</v>
      </c>
      <c r="C32" s="7"/>
      <c r="D32" s="7"/>
      <c r="E32" s="7"/>
      <c r="F32" s="7"/>
      <c r="G32" s="7"/>
      <c r="H32" s="7"/>
      <c r="I32" s="7"/>
      <c r="J32" s="7"/>
      <c r="K32" s="7"/>
      <c r="L32" s="7"/>
      <c r="M32" s="7"/>
      <c r="N32" s="7"/>
      <c r="O32" s="7"/>
      <c r="P32" s="7"/>
      <c r="Q32" s="7"/>
      <c r="R32" s="7"/>
      <c r="S32" s="7"/>
      <c r="T32" s="7"/>
      <c r="U32" s="7"/>
      <c r="V32" s="7"/>
      <c r="W32" s="7"/>
      <c r="X32" s="7"/>
      <c r="Y32" s="7"/>
      <c r="Z32" s="7"/>
    </row>
    <row r="33" ht="14.25" customHeight="1">
      <c r="A33" s="136">
        <v>1.3</v>
      </c>
      <c r="B33" s="7" t="s">
        <v>298</v>
      </c>
      <c r="C33" s="7"/>
      <c r="D33" s="7"/>
      <c r="E33" s="7"/>
      <c r="F33" s="7"/>
      <c r="G33" s="7"/>
      <c r="H33" s="7"/>
      <c r="I33" s="7"/>
      <c r="J33" s="7"/>
      <c r="K33" s="7"/>
      <c r="L33" s="7"/>
      <c r="M33" s="7"/>
      <c r="N33" s="7"/>
      <c r="O33" s="7"/>
      <c r="P33" s="7"/>
      <c r="Q33" s="7"/>
      <c r="R33" s="7"/>
      <c r="S33" s="7"/>
      <c r="T33" s="7"/>
      <c r="U33" s="7"/>
      <c r="V33" s="7"/>
      <c r="W33" s="7"/>
      <c r="X33" s="7"/>
      <c r="Y33" s="7"/>
      <c r="Z33" s="7"/>
    </row>
    <row r="34" ht="14.25" customHeight="1">
      <c r="A34" s="136">
        <v>1.4</v>
      </c>
      <c r="B34" s="7" t="s">
        <v>298</v>
      </c>
      <c r="C34" s="7"/>
      <c r="D34" s="7"/>
      <c r="E34" s="7"/>
      <c r="F34" s="7"/>
      <c r="G34" s="7"/>
      <c r="H34" s="7"/>
      <c r="I34" s="7"/>
      <c r="J34" s="7"/>
      <c r="K34" s="7"/>
      <c r="L34" s="7"/>
      <c r="M34" s="7"/>
      <c r="N34" s="7"/>
      <c r="O34" s="7"/>
      <c r="P34" s="7"/>
      <c r="Q34" s="7"/>
      <c r="R34" s="7"/>
      <c r="S34" s="7"/>
      <c r="T34" s="7"/>
      <c r="U34" s="7"/>
      <c r="V34" s="7"/>
      <c r="W34" s="7"/>
      <c r="X34" s="7"/>
      <c r="Y34" s="7"/>
      <c r="Z34" s="7"/>
    </row>
    <row r="35" ht="14.25" customHeight="1">
      <c r="A35" s="137">
        <v>1.5</v>
      </c>
      <c r="B35" s="7" t="s">
        <v>299</v>
      </c>
      <c r="C35" s="7"/>
      <c r="D35" s="7"/>
      <c r="E35" s="7"/>
      <c r="F35" s="7"/>
      <c r="G35" s="7"/>
      <c r="H35" s="7"/>
      <c r="I35" s="7"/>
      <c r="J35" s="7"/>
      <c r="K35" s="7"/>
      <c r="L35" s="7"/>
      <c r="M35" s="7"/>
      <c r="N35" s="7"/>
      <c r="O35" s="7"/>
      <c r="P35" s="7"/>
      <c r="Q35" s="7"/>
      <c r="R35" s="7"/>
      <c r="S35" s="7"/>
      <c r="T35" s="7"/>
      <c r="U35" s="7"/>
      <c r="V35" s="7"/>
      <c r="W35" s="7"/>
      <c r="X35" s="7"/>
      <c r="Y35" s="7"/>
      <c r="Z35" s="7"/>
    </row>
    <row r="36" ht="14.25" customHeight="1">
      <c r="A36" s="137">
        <v>1.6</v>
      </c>
      <c r="B36" s="7" t="s">
        <v>299</v>
      </c>
      <c r="C36" s="7"/>
      <c r="D36" s="7"/>
      <c r="E36" s="7"/>
      <c r="F36" s="7"/>
      <c r="G36" s="7"/>
      <c r="H36" s="7"/>
      <c r="I36" s="7"/>
      <c r="J36" s="7"/>
      <c r="K36" s="7"/>
      <c r="L36" s="7"/>
      <c r="M36" s="7"/>
      <c r="N36" s="7"/>
      <c r="O36" s="7"/>
      <c r="P36" s="7"/>
      <c r="Q36" s="7"/>
      <c r="R36" s="7"/>
      <c r="S36" s="7"/>
      <c r="T36" s="7"/>
      <c r="U36" s="7"/>
      <c r="V36" s="7"/>
      <c r="W36" s="7"/>
      <c r="X36" s="7"/>
      <c r="Y36" s="7"/>
      <c r="Z36" s="7"/>
    </row>
    <row r="37" ht="14.25" customHeight="1">
      <c r="A37" s="137">
        <v>1.7</v>
      </c>
      <c r="B37" s="7" t="s">
        <v>299</v>
      </c>
      <c r="C37" s="7"/>
      <c r="D37" s="7"/>
      <c r="E37" s="7"/>
      <c r="F37" s="7"/>
      <c r="G37" s="7"/>
      <c r="H37" s="7"/>
      <c r="I37" s="7"/>
      <c r="J37" s="7"/>
      <c r="K37" s="7"/>
      <c r="L37" s="7"/>
      <c r="M37" s="7"/>
      <c r="N37" s="7"/>
      <c r="O37" s="7"/>
      <c r="P37" s="7"/>
      <c r="Q37" s="7"/>
      <c r="R37" s="7"/>
      <c r="S37" s="7"/>
      <c r="T37" s="7"/>
      <c r="U37" s="7"/>
      <c r="V37" s="7"/>
      <c r="W37" s="7"/>
      <c r="X37" s="7"/>
      <c r="Y37" s="7"/>
      <c r="Z37" s="7"/>
    </row>
    <row r="38" ht="14.25" customHeight="1">
      <c r="A38" s="137">
        <v>1.8</v>
      </c>
      <c r="B38" s="7" t="s">
        <v>299</v>
      </c>
      <c r="C38" s="7"/>
      <c r="D38" s="7"/>
      <c r="E38" s="7"/>
      <c r="F38" s="7"/>
      <c r="G38" s="7"/>
      <c r="H38" s="7"/>
      <c r="I38" s="7"/>
      <c r="J38" s="7"/>
      <c r="K38" s="7"/>
      <c r="L38" s="7"/>
      <c r="M38" s="7"/>
      <c r="N38" s="7"/>
      <c r="O38" s="7"/>
      <c r="P38" s="7"/>
      <c r="Q38" s="7"/>
      <c r="R38" s="7"/>
      <c r="S38" s="7"/>
      <c r="T38" s="7"/>
      <c r="U38" s="7"/>
      <c r="V38" s="7"/>
      <c r="W38" s="7"/>
      <c r="X38" s="7"/>
      <c r="Y38" s="7"/>
      <c r="Z38" s="7"/>
    </row>
    <row r="39" ht="14.25" customHeight="1">
      <c r="A39" s="137">
        <v>1.9</v>
      </c>
      <c r="B39" s="7" t="s">
        <v>299</v>
      </c>
      <c r="C39" s="7"/>
      <c r="D39" s="7"/>
      <c r="E39" s="7"/>
      <c r="F39" s="7"/>
      <c r="G39" s="7"/>
      <c r="H39" s="7"/>
      <c r="I39" s="7"/>
      <c r="J39" s="7"/>
      <c r="K39" s="7"/>
      <c r="L39" s="7"/>
      <c r="M39" s="7"/>
      <c r="N39" s="7"/>
      <c r="O39" s="7"/>
      <c r="P39" s="7"/>
      <c r="Q39" s="7"/>
      <c r="R39" s="7"/>
      <c r="S39" s="7"/>
      <c r="T39" s="7"/>
      <c r="U39" s="7"/>
      <c r="V39" s="7"/>
      <c r="W39" s="7"/>
      <c r="X39" s="7"/>
      <c r="Y39" s="7"/>
      <c r="Z39" s="7"/>
    </row>
    <row r="40" ht="14.25" customHeight="1">
      <c r="A40" s="137">
        <v>2.0</v>
      </c>
      <c r="B40" s="7" t="s">
        <v>299</v>
      </c>
      <c r="C40" s="7"/>
      <c r="D40" s="7"/>
      <c r="E40" s="7"/>
      <c r="F40" s="7"/>
      <c r="G40" s="7"/>
      <c r="H40" s="7"/>
      <c r="I40" s="7"/>
      <c r="J40" s="7"/>
      <c r="K40" s="7"/>
      <c r="L40" s="7"/>
      <c r="M40" s="7"/>
      <c r="N40" s="7"/>
      <c r="O40" s="7"/>
      <c r="P40" s="7"/>
      <c r="Q40" s="7"/>
      <c r="R40" s="7"/>
      <c r="S40" s="7"/>
      <c r="T40" s="7"/>
      <c r="U40" s="7"/>
      <c r="V40" s="7"/>
      <c r="W40" s="7"/>
      <c r="X40" s="7"/>
      <c r="Y40" s="7"/>
      <c r="Z40" s="7"/>
    </row>
    <row r="41" ht="14.25" customHeight="1">
      <c r="A41" s="137">
        <v>2.1</v>
      </c>
      <c r="B41" s="7" t="s">
        <v>299</v>
      </c>
      <c r="C41" s="7"/>
      <c r="D41" s="7"/>
      <c r="E41" s="7"/>
      <c r="F41" s="7"/>
      <c r="G41" s="7"/>
      <c r="H41" s="7"/>
      <c r="I41" s="7"/>
      <c r="J41" s="7"/>
      <c r="K41" s="7"/>
      <c r="L41" s="7"/>
      <c r="M41" s="7"/>
      <c r="N41" s="7"/>
      <c r="O41" s="7"/>
      <c r="P41" s="7"/>
      <c r="Q41" s="7"/>
      <c r="R41" s="7"/>
      <c r="S41" s="7"/>
      <c r="T41" s="7"/>
      <c r="U41" s="7"/>
      <c r="V41" s="7"/>
      <c r="W41" s="7"/>
      <c r="X41" s="7"/>
      <c r="Y41" s="7"/>
      <c r="Z41" s="7"/>
    </row>
    <row r="42" ht="14.25" customHeight="1">
      <c r="A42" s="137">
        <v>2.2</v>
      </c>
      <c r="B42" s="7" t="s">
        <v>299</v>
      </c>
      <c r="C42" s="7"/>
      <c r="D42" s="7"/>
      <c r="E42" s="7"/>
      <c r="F42" s="7"/>
      <c r="G42" s="7"/>
      <c r="H42" s="7"/>
      <c r="I42" s="7"/>
      <c r="J42" s="7"/>
      <c r="K42" s="7"/>
      <c r="L42" s="7"/>
      <c r="M42" s="7"/>
      <c r="N42" s="7"/>
      <c r="O42" s="7"/>
      <c r="P42" s="7"/>
      <c r="Q42" s="7"/>
      <c r="R42" s="7"/>
      <c r="S42" s="7"/>
      <c r="T42" s="7"/>
      <c r="U42" s="7"/>
      <c r="V42" s="7"/>
      <c r="W42" s="7"/>
      <c r="X42" s="7"/>
      <c r="Y42" s="7"/>
      <c r="Z42" s="7"/>
    </row>
    <row r="43" ht="14.25" customHeight="1">
      <c r="A43" s="137">
        <v>2.3</v>
      </c>
      <c r="B43" s="7" t="s">
        <v>299</v>
      </c>
      <c r="C43" s="7"/>
      <c r="D43" s="7"/>
      <c r="E43" s="7"/>
      <c r="F43" s="7"/>
      <c r="G43" s="7"/>
      <c r="H43" s="7"/>
      <c r="I43" s="7"/>
      <c r="J43" s="7"/>
      <c r="K43" s="7"/>
      <c r="L43" s="7"/>
      <c r="M43" s="7"/>
      <c r="N43" s="7"/>
      <c r="O43" s="7"/>
      <c r="P43" s="7"/>
      <c r="Q43" s="7"/>
      <c r="R43" s="7"/>
      <c r="S43" s="7"/>
      <c r="T43" s="7"/>
      <c r="U43" s="7"/>
      <c r="V43" s="7"/>
      <c r="W43" s="7"/>
      <c r="X43" s="7"/>
      <c r="Y43" s="7"/>
      <c r="Z43" s="7"/>
    </row>
    <row r="44" ht="14.25" customHeight="1">
      <c r="A44" s="134">
        <v>2.4</v>
      </c>
      <c r="B44" s="7" t="s">
        <v>300</v>
      </c>
      <c r="C44" s="7"/>
      <c r="D44" s="7"/>
      <c r="E44" s="7"/>
      <c r="F44" s="7"/>
      <c r="G44" s="7"/>
      <c r="H44" s="7"/>
      <c r="I44" s="7"/>
      <c r="J44" s="7"/>
      <c r="K44" s="7"/>
      <c r="L44" s="7"/>
      <c r="M44" s="7"/>
      <c r="N44" s="7"/>
      <c r="O44" s="7"/>
      <c r="P44" s="7"/>
      <c r="Q44" s="7"/>
      <c r="R44" s="7"/>
      <c r="S44" s="7"/>
      <c r="T44" s="7"/>
      <c r="U44" s="7"/>
      <c r="V44" s="7"/>
      <c r="W44" s="7"/>
      <c r="X44" s="7"/>
      <c r="Y44" s="7"/>
      <c r="Z44" s="7"/>
    </row>
    <row r="45" ht="14.25" customHeight="1">
      <c r="A45" s="134">
        <v>2.5</v>
      </c>
      <c r="B45" s="7" t="s">
        <v>300</v>
      </c>
      <c r="C45" s="7"/>
      <c r="D45" s="7"/>
      <c r="E45" s="7"/>
      <c r="F45" s="7"/>
      <c r="G45" s="7"/>
      <c r="H45" s="7"/>
      <c r="I45" s="7"/>
      <c r="J45" s="7"/>
      <c r="K45" s="7"/>
      <c r="L45" s="7"/>
      <c r="M45" s="7"/>
      <c r="N45" s="7"/>
      <c r="O45" s="7"/>
      <c r="P45" s="7"/>
      <c r="Q45" s="7"/>
      <c r="R45" s="7"/>
      <c r="S45" s="7"/>
      <c r="T45" s="7"/>
      <c r="U45" s="7"/>
      <c r="V45" s="7"/>
      <c r="W45" s="7"/>
      <c r="X45" s="7"/>
      <c r="Y45" s="7"/>
      <c r="Z45" s="7"/>
    </row>
    <row r="46" ht="14.25" customHeight="1">
      <c r="A46" s="134">
        <v>2.6</v>
      </c>
      <c r="B46" s="7" t="s">
        <v>300</v>
      </c>
      <c r="C46" s="7"/>
      <c r="D46" s="7"/>
      <c r="E46" s="7"/>
      <c r="F46" s="7"/>
      <c r="G46" s="7"/>
      <c r="H46" s="7"/>
      <c r="I46" s="7"/>
      <c r="J46" s="7"/>
      <c r="K46" s="7"/>
      <c r="L46" s="7"/>
      <c r="M46" s="7"/>
      <c r="N46" s="7"/>
      <c r="O46" s="7"/>
      <c r="P46" s="7"/>
      <c r="Q46" s="7"/>
      <c r="R46" s="7"/>
      <c r="S46" s="7"/>
      <c r="T46" s="7"/>
      <c r="U46" s="7"/>
      <c r="V46" s="7"/>
      <c r="W46" s="7"/>
      <c r="X46" s="7"/>
      <c r="Y46" s="7"/>
      <c r="Z46" s="7"/>
    </row>
    <row r="47" ht="14.25" customHeight="1">
      <c r="A47" s="134">
        <v>2.7</v>
      </c>
      <c r="B47" s="7" t="s">
        <v>300</v>
      </c>
      <c r="C47" s="7"/>
      <c r="D47" s="7"/>
      <c r="E47" s="7"/>
      <c r="F47" s="7"/>
      <c r="G47" s="7"/>
      <c r="H47" s="7"/>
      <c r="I47" s="7"/>
      <c r="J47" s="7"/>
      <c r="K47" s="7"/>
      <c r="L47" s="7"/>
      <c r="M47" s="7"/>
      <c r="N47" s="7"/>
      <c r="O47" s="7"/>
      <c r="P47" s="7"/>
      <c r="Q47" s="7"/>
      <c r="R47" s="7"/>
      <c r="S47" s="7"/>
      <c r="T47" s="7"/>
      <c r="U47" s="7"/>
      <c r="V47" s="7"/>
      <c r="W47" s="7"/>
      <c r="X47" s="7"/>
      <c r="Y47" s="7"/>
      <c r="Z47" s="7"/>
    </row>
    <row r="48" ht="14.25" customHeight="1">
      <c r="A48" s="134">
        <v>2.8</v>
      </c>
      <c r="B48" s="7" t="s">
        <v>300</v>
      </c>
      <c r="C48" s="7"/>
      <c r="D48" s="7"/>
      <c r="E48" s="7"/>
      <c r="F48" s="7"/>
      <c r="G48" s="7"/>
      <c r="H48" s="7"/>
      <c r="I48" s="7"/>
      <c r="J48" s="7"/>
      <c r="K48" s="7"/>
      <c r="L48" s="7"/>
      <c r="M48" s="7"/>
      <c r="N48" s="7"/>
      <c r="O48" s="7"/>
      <c r="P48" s="7"/>
      <c r="Q48" s="7"/>
      <c r="R48" s="7"/>
      <c r="S48" s="7"/>
      <c r="T48" s="7"/>
      <c r="U48" s="7"/>
      <c r="V48" s="7"/>
      <c r="W48" s="7"/>
      <c r="X48" s="7"/>
      <c r="Y48" s="7"/>
      <c r="Z48" s="7"/>
    </row>
    <row r="49" ht="14.25" customHeight="1">
      <c r="A49" s="134">
        <v>2.9</v>
      </c>
      <c r="B49" s="7" t="s">
        <v>300</v>
      </c>
      <c r="C49" s="7"/>
      <c r="D49" s="7"/>
      <c r="E49" s="7"/>
      <c r="F49" s="7"/>
      <c r="G49" s="7"/>
      <c r="H49" s="7"/>
      <c r="I49" s="7"/>
      <c r="J49" s="7"/>
      <c r="K49" s="7"/>
      <c r="L49" s="7"/>
      <c r="M49" s="7"/>
      <c r="N49" s="7"/>
      <c r="O49" s="7"/>
      <c r="P49" s="7"/>
      <c r="Q49" s="7"/>
      <c r="R49" s="7"/>
      <c r="S49" s="7"/>
      <c r="T49" s="7"/>
      <c r="U49" s="7"/>
      <c r="V49" s="7"/>
      <c r="W49" s="7"/>
      <c r="X49" s="7"/>
      <c r="Y49" s="7"/>
      <c r="Z49" s="7"/>
    </row>
    <row r="50" ht="14.25" customHeight="1">
      <c r="A50" s="134">
        <v>3.0</v>
      </c>
      <c r="B50" s="7" t="s">
        <v>300</v>
      </c>
      <c r="C50" s="7"/>
      <c r="D50" s="7"/>
      <c r="E50" s="7"/>
      <c r="F50" s="7"/>
      <c r="G50" s="7"/>
      <c r="H50" s="7"/>
      <c r="I50" s="7"/>
      <c r="J50" s="7"/>
      <c r="K50" s="7"/>
      <c r="L50" s="7"/>
      <c r="M50" s="7"/>
      <c r="N50" s="7"/>
      <c r="O50" s="7"/>
      <c r="P50" s="7"/>
      <c r="Q50" s="7"/>
      <c r="R50" s="7"/>
      <c r="S50" s="7"/>
      <c r="T50" s="7"/>
      <c r="U50" s="7"/>
      <c r="V50" s="7"/>
      <c r="W50" s="7"/>
      <c r="X50" s="7"/>
      <c r="Y50" s="7"/>
      <c r="Z50" s="7"/>
    </row>
    <row r="51" ht="14.25" customHeight="1">
      <c r="A51" s="134">
        <v>3.1</v>
      </c>
      <c r="B51" s="7" t="s">
        <v>300</v>
      </c>
      <c r="C51" s="7"/>
      <c r="D51" s="7"/>
      <c r="E51" s="7"/>
      <c r="F51" s="7"/>
      <c r="G51" s="7"/>
      <c r="H51" s="7"/>
      <c r="I51" s="7"/>
      <c r="J51" s="7"/>
      <c r="K51" s="7"/>
      <c r="L51" s="7"/>
      <c r="M51" s="7"/>
      <c r="N51" s="7"/>
      <c r="O51" s="7"/>
      <c r="P51" s="7"/>
      <c r="Q51" s="7"/>
      <c r="R51" s="7"/>
      <c r="S51" s="7"/>
      <c r="T51" s="7"/>
      <c r="U51" s="7"/>
      <c r="V51" s="7"/>
      <c r="W51" s="7"/>
      <c r="X51" s="7"/>
      <c r="Y51" s="7"/>
      <c r="Z51" s="7"/>
    </row>
    <row r="52" ht="14.25" customHeight="1">
      <c r="A52" s="134">
        <v>3.2</v>
      </c>
      <c r="B52" s="7" t="s">
        <v>300</v>
      </c>
      <c r="C52" s="7"/>
      <c r="D52" s="7"/>
      <c r="E52" s="7"/>
      <c r="F52" s="7"/>
      <c r="G52" s="7"/>
      <c r="H52" s="7"/>
      <c r="I52" s="7"/>
      <c r="J52" s="7"/>
      <c r="K52" s="7"/>
      <c r="L52" s="7"/>
      <c r="M52" s="7"/>
      <c r="N52" s="7"/>
      <c r="O52" s="7"/>
      <c r="P52" s="7"/>
      <c r="Q52" s="7"/>
      <c r="R52" s="7"/>
      <c r="S52" s="7"/>
      <c r="T52" s="7"/>
      <c r="U52" s="7"/>
      <c r="V52" s="7"/>
      <c r="W52" s="7"/>
      <c r="X52" s="7"/>
      <c r="Y52" s="7"/>
      <c r="Z52" s="7"/>
    </row>
    <row r="53" ht="14.25" customHeight="1">
      <c r="A53" s="134">
        <v>3.3</v>
      </c>
      <c r="B53" s="7" t="s">
        <v>300</v>
      </c>
      <c r="C53" s="7"/>
      <c r="D53" s="7"/>
      <c r="E53" s="7"/>
      <c r="F53" s="7"/>
      <c r="G53" s="7"/>
      <c r="H53" s="7"/>
      <c r="I53" s="7"/>
      <c r="J53" s="7"/>
      <c r="K53" s="7"/>
      <c r="L53" s="7"/>
      <c r="M53" s="7"/>
      <c r="N53" s="7"/>
      <c r="O53" s="7"/>
      <c r="P53" s="7"/>
      <c r="Q53" s="7"/>
      <c r="R53" s="7"/>
      <c r="S53" s="7"/>
      <c r="T53" s="7"/>
      <c r="U53" s="7"/>
      <c r="V53" s="7"/>
      <c r="W53" s="7"/>
      <c r="X53" s="7"/>
      <c r="Y53" s="7"/>
      <c r="Z53" s="7"/>
    </row>
    <row r="54" ht="14.25" customHeight="1">
      <c r="A54" s="134">
        <v>3.4</v>
      </c>
      <c r="B54" s="7" t="s">
        <v>300</v>
      </c>
      <c r="C54" s="7"/>
      <c r="D54" s="7"/>
      <c r="E54" s="7"/>
      <c r="F54" s="7"/>
      <c r="G54" s="7"/>
      <c r="H54" s="7"/>
      <c r="I54" s="7"/>
      <c r="J54" s="7"/>
      <c r="K54" s="7"/>
      <c r="L54" s="7"/>
      <c r="M54" s="7"/>
      <c r="N54" s="7"/>
      <c r="O54" s="7"/>
      <c r="P54" s="7"/>
      <c r="Q54" s="7"/>
      <c r="R54" s="7"/>
      <c r="S54" s="7"/>
      <c r="T54" s="7"/>
      <c r="U54" s="7"/>
      <c r="V54" s="7"/>
      <c r="W54" s="7"/>
      <c r="X54" s="7"/>
      <c r="Y54" s="7"/>
      <c r="Z54" s="7"/>
    </row>
    <row r="55" ht="14.25" customHeight="1">
      <c r="A55" s="138">
        <v>3.5</v>
      </c>
      <c r="B55" s="7" t="s">
        <v>226</v>
      </c>
      <c r="C55" s="7"/>
      <c r="D55" s="7"/>
      <c r="E55" s="7"/>
      <c r="F55" s="7"/>
      <c r="G55" s="7"/>
      <c r="H55" s="7"/>
      <c r="I55" s="7"/>
      <c r="J55" s="7"/>
      <c r="K55" s="7"/>
      <c r="L55" s="7"/>
      <c r="M55" s="7"/>
      <c r="N55" s="7"/>
      <c r="O55" s="7"/>
      <c r="P55" s="7"/>
      <c r="Q55" s="7"/>
      <c r="R55" s="7"/>
      <c r="S55" s="7"/>
      <c r="T55" s="7"/>
      <c r="U55" s="7"/>
      <c r="V55" s="7"/>
      <c r="W55" s="7"/>
      <c r="X55" s="7"/>
      <c r="Y55" s="7"/>
      <c r="Z55" s="7"/>
    </row>
    <row r="56" ht="14.25" customHeight="1">
      <c r="A56" s="138">
        <v>3.6</v>
      </c>
      <c r="B56" s="7" t="s">
        <v>226</v>
      </c>
      <c r="C56" s="7"/>
      <c r="D56" s="7"/>
      <c r="E56" s="7"/>
      <c r="F56" s="7"/>
      <c r="G56" s="7"/>
      <c r="H56" s="7"/>
      <c r="I56" s="7"/>
      <c r="J56" s="7"/>
      <c r="K56" s="7"/>
      <c r="L56" s="7"/>
      <c r="M56" s="7"/>
      <c r="N56" s="7"/>
      <c r="O56" s="7"/>
      <c r="P56" s="7"/>
      <c r="Q56" s="7"/>
      <c r="R56" s="7"/>
      <c r="S56" s="7"/>
      <c r="T56" s="7"/>
      <c r="U56" s="7"/>
      <c r="V56" s="7"/>
      <c r="W56" s="7"/>
      <c r="X56" s="7"/>
      <c r="Y56" s="7"/>
      <c r="Z56" s="7"/>
    </row>
    <row r="57" ht="14.25" customHeight="1">
      <c r="A57" s="138">
        <v>3.7</v>
      </c>
      <c r="B57" s="7" t="s">
        <v>226</v>
      </c>
      <c r="C57" s="7"/>
      <c r="D57" s="7"/>
      <c r="E57" s="7"/>
      <c r="F57" s="7"/>
      <c r="G57" s="7"/>
      <c r="H57" s="7"/>
      <c r="I57" s="7"/>
      <c r="J57" s="7"/>
      <c r="K57" s="7"/>
      <c r="L57" s="7"/>
      <c r="M57" s="7"/>
      <c r="N57" s="7"/>
      <c r="O57" s="7"/>
      <c r="P57" s="7"/>
      <c r="Q57" s="7"/>
      <c r="R57" s="7"/>
      <c r="S57" s="7"/>
      <c r="T57" s="7"/>
      <c r="U57" s="7"/>
      <c r="V57" s="7"/>
      <c r="W57" s="7"/>
      <c r="X57" s="7"/>
      <c r="Y57" s="7"/>
      <c r="Z57" s="7"/>
    </row>
    <row r="58" ht="14.25" customHeight="1">
      <c r="A58" s="138">
        <v>3.8</v>
      </c>
      <c r="B58" s="7" t="s">
        <v>226</v>
      </c>
      <c r="C58" s="7"/>
      <c r="D58" s="7"/>
      <c r="E58" s="7"/>
      <c r="F58" s="7"/>
      <c r="G58" s="7"/>
      <c r="H58" s="7"/>
      <c r="I58" s="7"/>
      <c r="J58" s="7"/>
      <c r="K58" s="7"/>
      <c r="L58" s="7"/>
      <c r="M58" s="7"/>
      <c r="N58" s="7"/>
      <c r="O58" s="7"/>
      <c r="P58" s="7"/>
      <c r="Q58" s="7"/>
      <c r="R58" s="7"/>
      <c r="S58" s="7"/>
      <c r="T58" s="7"/>
      <c r="U58" s="7"/>
      <c r="V58" s="7"/>
      <c r="W58" s="7"/>
      <c r="X58" s="7"/>
      <c r="Y58" s="7"/>
      <c r="Z58" s="7"/>
    </row>
    <row r="59" ht="14.25" customHeight="1">
      <c r="A59" s="138">
        <v>3.9</v>
      </c>
      <c r="B59" s="7" t="s">
        <v>226</v>
      </c>
      <c r="C59" s="7"/>
      <c r="D59" s="7"/>
      <c r="E59" s="7"/>
      <c r="F59" s="7"/>
      <c r="G59" s="7"/>
      <c r="H59" s="7"/>
      <c r="I59" s="7"/>
      <c r="J59" s="7"/>
      <c r="K59" s="7"/>
      <c r="L59" s="7"/>
      <c r="M59" s="7"/>
      <c r="N59" s="7"/>
      <c r="O59" s="7"/>
      <c r="P59" s="7"/>
      <c r="Q59" s="7"/>
      <c r="R59" s="7"/>
      <c r="S59" s="7"/>
      <c r="T59" s="7"/>
      <c r="U59" s="7"/>
      <c r="V59" s="7"/>
      <c r="W59" s="7"/>
      <c r="X59" s="7"/>
      <c r="Y59" s="7"/>
      <c r="Z59" s="7"/>
    </row>
    <row r="60" ht="14.25" customHeight="1">
      <c r="A60" s="138">
        <v>4.0</v>
      </c>
      <c r="B60" s="7" t="s">
        <v>226</v>
      </c>
      <c r="C60" s="7"/>
      <c r="D60" s="7"/>
      <c r="E60" s="7"/>
      <c r="F60" s="7"/>
      <c r="G60" s="7"/>
      <c r="H60" s="7"/>
      <c r="I60" s="7"/>
      <c r="J60" s="7"/>
      <c r="K60" s="7"/>
      <c r="L60" s="7"/>
      <c r="M60" s="7"/>
      <c r="N60" s="7"/>
      <c r="O60" s="7"/>
      <c r="P60" s="7"/>
      <c r="Q60" s="7"/>
      <c r="R60" s="7"/>
      <c r="S60" s="7"/>
      <c r="T60" s="7"/>
      <c r="U60" s="7"/>
      <c r="V60" s="7"/>
      <c r="W60" s="7"/>
      <c r="X60" s="7"/>
      <c r="Y60" s="7"/>
      <c r="Z60" s="7"/>
    </row>
    <row r="61" ht="14.25" customHeight="1">
      <c r="A61" s="7"/>
      <c r="B61" s="7"/>
      <c r="C61" s="7"/>
      <c r="D61" s="7"/>
      <c r="E61" s="7"/>
      <c r="F61" s="7"/>
      <c r="G61" s="7"/>
      <c r="H61" s="7"/>
      <c r="I61" s="7"/>
      <c r="J61" s="7"/>
      <c r="K61" s="7"/>
      <c r="L61" s="7"/>
      <c r="M61" s="7"/>
      <c r="N61" s="7"/>
      <c r="O61" s="7"/>
      <c r="P61" s="7"/>
      <c r="Q61" s="7"/>
      <c r="R61" s="7"/>
      <c r="S61" s="7"/>
      <c r="T61" s="7"/>
      <c r="U61" s="7"/>
      <c r="V61" s="7"/>
      <c r="W61" s="7"/>
      <c r="X61" s="7"/>
      <c r="Y61" s="7"/>
      <c r="Z61" s="7"/>
    </row>
    <row r="62" ht="14.25" customHeight="1">
      <c r="A62" s="7"/>
      <c r="B62" s="7"/>
      <c r="C62" s="7"/>
      <c r="D62" s="7"/>
      <c r="E62" s="7"/>
      <c r="F62" s="7"/>
      <c r="G62" s="7"/>
      <c r="H62" s="7"/>
      <c r="I62" s="7"/>
      <c r="J62" s="7"/>
      <c r="K62" s="7"/>
      <c r="L62" s="7"/>
      <c r="M62" s="7"/>
      <c r="N62" s="7"/>
      <c r="O62" s="7"/>
      <c r="P62" s="7"/>
      <c r="Q62" s="7"/>
      <c r="R62" s="7"/>
      <c r="S62" s="7"/>
      <c r="T62" s="7"/>
      <c r="U62" s="7"/>
      <c r="V62" s="7"/>
      <c r="W62" s="7"/>
      <c r="X62" s="7"/>
      <c r="Y62" s="7"/>
      <c r="Z62" s="7"/>
    </row>
    <row r="63" ht="14.25" customHeight="1">
      <c r="A63" s="7"/>
      <c r="B63" s="7"/>
      <c r="C63" s="7"/>
      <c r="D63" s="7"/>
      <c r="E63" s="7"/>
      <c r="F63" s="7"/>
      <c r="G63" s="7"/>
      <c r="H63" s="7"/>
      <c r="I63" s="7"/>
      <c r="J63" s="7"/>
      <c r="K63" s="7"/>
      <c r="L63" s="7"/>
      <c r="M63" s="7"/>
      <c r="N63" s="7"/>
      <c r="O63" s="7"/>
      <c r="P63" s="7"/>
      <c r="Q63" s="7"/>
      <c r="R63" s="7"/>
      <c r="S63" s="7"/>
      <c r="T63" s="7"/>
      <c r="U63" s="7"/>
      <c r="V63" s="7"/>
      <c r="W63" s="7"/>
      <c r="X63" s="7"/>
      <c r="Y63" s="7"/>
      <c r="Z63" s="7"/>
    </row>
    <row r="64" ht="14.25" customHeight="1">
      <c r="A64" s="7"/>
      <c r="B64" s="7"/>
      <c r="C64" s="7"/>
      <c r="D64" s="7"/>
      <c r="E64" s="7"/>
      <c r="F64" s="7"/>
      <c r="G64" s="7"/>
      <c r="H64" s="7"/>
      <c r="I64" s="7"/>
      <c r="J64" s="7"/>
      <c r="K64" s="7"/>
      <c r="L64" s="7"/>
      <c r="M64" s="7"/>
      <c r="N64" s="7"/>
      <c r="O64" s="7"/>
      <c r="P64" s="7"/>
      <c r="Q64" s="7"/>
      <c r="R64" s="7"/>
      <c r="S64" s="7"/>
      <c r="T64" s="7"/>
      <c r="U64" s="7"/>
      <c r="V64" s="7"/>
      <c r="W64" s="7"/>
      <c r="X64" s="7"/>
      <c r="Y64" s="7"/>
      <c r="Z64" s="7"/>
    </row>
    <row r="65" ht="14.25" customHeight="1">
      <c r="A65" s="7"/>
      <c r="B65" s="7"/>
      <c r="C65" s="7"/>
      <c r="D65" s="7"/>
      <c r="E65" s="7"/>
      <c r="F65" s="7"/>
      <c r="G65" s="7"/>
      <c r="H65" s="7"/>
      <c r="I65" s="7"/>
      <c r="J65" s="7"/>
      <c r="K65" s="7"/>
      <c r="L65" s="7"/>
      <c r="M65" s="7"/>
      <c r="N65" s="7"/>
      <c r="O65" s="7"/>
      <c r="P65" s="7"/>
      <c r="Q65" s="7"/>
      <c r="R65" s="7"/>
      <c r="S65" s="7"/>
      <c r="T65" s="7"/>
      <c r="U65" s="7"/>
      <c r="V65" s="7"/>
      <c r="W65" s="7"/>
      <c r="X65" s="7"/>
      <c r="Y65" s="7"/>
      <c r="Z65" s="7"/>
    </row>
    <row r="66" ht="14.25" customHeight="1">
      <c r="A66" s="7"/>
      <c r="B66" s="7"/>
      <c r="C66" s="7"/>
      <c r="D66" s="7"/>
      <c r="E66" s="7"/>
      <c r="F66" s="7"/>
      <c r="G66" s="7"/>
      <c r="H66" s="7"/>
      <c r="I66" s="7"/>
      <c r="J66" s="7"/>
      <c r="K66" s="7"/>
      <c r="L66" s="7"/>
      <c r="M66" s="7"/>
      <c r="N66" s="7"/>
      <c r="O66" s="7"/>
      <c r="P66" s="7"/>
      <c r="Q66" s="7"/>
      <c r="R66" s="7"/>
      <c r="S66" s="7"/>
      <c r="T66" s="7"/>
      <c r="U66" s="7"/>
      <c r="V66" s="7"/>
      <c r="W66" s="7"/>
      <c r="X66" s="7"/>
      <c r="Y66" s="7"/>
      <c r="Z66" s="7"/>
    </row>
    <row r="67" ht="14.25" customHeight="1">
      <c r="A67" s="7"/>
      <c r="B67" s="7"/>
      <c r="C67" s="7"/>
      <c r="D67" s="7"/>
      <c r="E67" s="7"/>
      <c r="F67" s="7"/>
      <c r="G67" s="7"/>
      <c r="H67" s="7"/>
      <c r="I67" s="7"/>
      <c r="J67" s="7"/>
      <c r="K67" s="7"/>
      <c r="L67" s="7"/>
      <c r="M67" s="7"/>
      <c r="N67" s="7"/>
      <c r="O67" s="7"/>
      <c r="P67" s="7"/>
      <c r="Q67" s="7"/>
      <c r="R67" s="7"/>
      <c r="S67" s="7"/>
      <c r="T67" s="7"/>
      <c r="U67" s="7"/>
      <c r="V67" s="7"/>
      <c r="W67" s="7"/>
      <c r="X67" s="7"/>
      <c r="Y67" s="7"/>
      <c r="Z67" s="7"/>
    </row>
    <row r="68" ht="14.25" customHeight="1">
      <c r="A68" s="7"/>
      <c r="B68" s="7"/>
      <c r="C68" s="7"/>
      <c r="D68" s="7"/>
      <c r="E68" s="7"/>
      <c r="F68" s="7"/>
      <c r="G68" s="7"/>
      <c r="H68" s="7"/>
      <c r="I68" s="7"/>
      <c r="J68" s="7"/>
      <c r="K68" s="7"/>
      <c r="L68" s="7"/>
      <c r="M68" s="7"/>
      <c r="N68" s="7"/>
      <c r="O68" s="7"/>
      <c r="P68" s="7"/>
      <c r="Q68" s="7"/>
      <c r="R68" s="7"/>
      <c r="S68" s="7"/>
      <c r="T68" s="7"/>
      <c r="U68" s="7"/>
      <c r="V68" s="7"/>
      <c r="W68" s="7"/>
      <c r="X68" s="7"/>
      <c r="Y68" s="7"/>
      <c r="Z68" s="7"/>
    </row>
    <row r="69" ht="14.25" customHeight="1">
      <c r="A69" s="7"/>
      <c r="B69" s="7"/>
      <c r="C69" s="7"/>
      <c r="D69" s="7"/>
      <c r="E69" s="7"/>
      <c r="F69" s="7"/>
      <c r="G69" s="7"/>
      <c r="H69" s="7"/>
      <c r="I69" s="7"/>
      <c r="J69" s="7"/>
      <c r="K69" s="7"/>
      <c r="L69" s="7"/>
      <c r="M69" s="7"/>
      <c r="N69" s="7"/>
      <c r="O69" s="7"/>
      <c r="P69" s="7"/>
      <c r="Q69" s="7"/>
      <c r="R69" s="7"/>
      <c r="S69" s="7"/>
      <c r="T69" s="7"/>
      <c r="U69" s="7"/>
      <c r="V69" s="7"/>
      <c r="W69" s="7"/>
      <c r="X69" s="7"/>
      <c r="Y69" s="7"/>
      <c r="Z69" s="7"/>
    </row>
    <row r="70" ht="14.25" customHeight="1">
      <c r="A70" s="7"/>
      <c r="B70" s="7"/>
      <c r="C70" s="7"/>
      <c r="D70" s="7"/>
      <c r="E70" s="7"/>
      <c r="F70" s="7"/>
      <c r="G70" s="7"/>
      <c r="H70" s="7"/>
      <c r="I70" s="7"/>
      <c r="J70" s="7"/>
      <c r="K70" s="7"/>
      <c r="L70" s="7"/>
      <c r="M70" s="7"/>
      <c r="N70" s="7"/>
      <c r="O70" s="7"/>
      <c r="P70" s="7"/>
      <c r="Q70" s="7"/>
      <c r="R70" s="7"/>
      <c r="S70" s="7"/>
      <c r="T70" s="7"/>
      <c r="U70" s="7"/>
      <c r="V70" s="7"/>
      <c r="W70" s="7"/>
      <c r="X70" s="7"/>
      <c r="Y70" s="7"/>
      <c r="Z70" s="7"/>
    </row>
    <row r="71" ht="14.25" customHeight="1">
      <c r="A71" s="7"/>
      <c r="B71" s="7"/>
      <c r="C71" s="7"/>
      <c r="D71" s="7"/>
      <c r="E71" s="7"/>
      <c r="F71" s="7"/>
      <c r="G71" s="7"/>
      <c r="H71" s="7"/>
      <c r="I71" s="7"/>
      <c r="J71" s="7"/>
      <c r="K71" s="7"/>
      <c r="L71" s="7"/>
      <c r="M71" s="7"/>
      <c r="N71" s="7"/>
      <c r="O71" s="7"/>
      <c r="P71" s="7"/>
      <c r="Q71" s="7"/>
      <c r="R71" s="7"/>
      <c r="S71" s="7"/>
      <c r="T71" s="7"/>
      <c r="U71" s="7"/>
      <c r="V71" s="7"/>
      <c r="W71" s="7"/>
      <c r="X71" s="7"/>
      <c r="Y71" s="7"/>
      <c r="Z71" s="7"/>
    </row>
    <row r="72" ht="14.25" customHeight="1">
      <c r="A72" s="7"/>
      <c r="B72" s="7"/>
      <c r="C72" s="7"/>
      <c r="D72" s="7"/>
      <c r="E72" s="7"/>
      <c r="F72" s="7"/>
      <c r="G72" s="7"/>
      <c r="H72" s="7"/>
      <c r="I72" s="7"/>
      <c r="J72" s="7"/>
      <c r="K72" s="7"/>
      <c r="L72" s="7"/>
      <c r="M72" s="7"/>
      <c r="N72" s="7"/>
      <c r="O72" s="7"/>
      <c r="P72" s="7"/>
      <c r="Q72" s="7"/>
      <c r="R72" s="7"/>
      <c r="S72" s="7"/>
      <c r="T72" s="7"/>
      <c r="U72" s="7"/>
      <c r="V72" s="7"/>
      <c r="W72" s="7"/>
      <c r="X72" s="7"/>
      <c r="Y72" s="7"/>
      <c r="Z72" s="7"/>
    </row>
    <row r="73" ht="14.25" customHeight="1">
      <c r="A73" s="7"/>
      <c r="B73" s="7"/>
      <c r="C73" s="7"/>
      <c r="D73" s="7"/>
      <c r="E73" s="7"/>
      <c r="F73" s="7"/>
      <c r="G73" s="7"/>
      <c r="H73" s="7"/>
      <c r="I73" s="7"/>
      <c r="J73" s="7"/>
      <c r="K73" s="7"/>
      <c r="L73" s="7"/>
      <c r="M73" s="7"/>
      <c r="N73" s="7"/>
      <c r="O73" s="7"/>
      <c r="P73" s="7"/>
      <c r="Q73" s="7"/>
      <c r="R73" s="7"/>
      <c r="S73" s="7"/>
      <c r="T73" s="7"/>
      <c r="U73" s="7"/>
      <c r="V73" s="7"/>
      <c r="W73" s="7"/>
      <c r="X73" s="7"/>
      <c r="Y73" s="7"/>
      <c r="Z73" s="7"/>
    </row>
    <row r="74" ht="14.25" customHeight="1">
      <c r="A74" s="7"/>
      <c r="B74" s="7"/>
      <c r="C74" s="7"/>
      <c r="D74" s="7"/>
      <c r="E74" s="7"/>
      <c r="F74" s="7"/>
      <c r="G74" s="7"/>
      <c r="H74" s="7"/>
      <c r="I74" s="7"/>
      <c r="J74" s="7"/>
      <c r="K74" s="7"/>
      <c r="L74" s="7"/>
      <c r="M74" s="7"/>
      <c r="N74" s="7"/>
      <c r="O74" s="7"/>
      <c r="P74" s="7"/>
      <c r="Q74" s="7"/>
      <c r="R74" s="7"/>
      <c r="S74" s="7"/>
      <c r="T74" s="7"/>
      <c r="U74" s="7"/>
      <c r="V74" s="7"/>
      <c r="W74" s="7"/>
      <c r="X74" s="7"/>
      <c r="Y74" s="7"/>
      <c r="Z74" s="7"/>
    </row>
    <row r="75" ht="14.2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7"/>
      <c r="B76" s="7"/>
      <c r="C76" s="7"/>
      <c r="D76" s="7"/>
      <c r="E76" s="7"/>
      <c r="F76" s="7"/>
      <c r="G76" s="7"/>
      <c r="H76" s="7"/>
      <c r="I76" s="7"/>
      <c r="J76" s="7"/>
      <c r="K76" s="7"/>
      <c r="L76" s="7"/>
      <c r="M76" s="7"/>
      <c r="N76" s="7"/>
      <c r="O76" s="7"/>
      <c r="P76" s="7"/>
      <c r="Q76" s="7"/>
      <c r="R76" s="7"/>
      <c r="S76" s="7"/>
      <c r="T76" s="7"/>
      <c r="U76" s="7"/>
      <c r="V76" s="7"/>
      <c r="W76" s="7"/>
      <c r="X76" s="7"/>
      <c r="Y76" s="7"/>
      <c r="Z76" s="7"/>
    </row>
    <row r="77" ht="14.25" customHeight="1">
      <c r="A77" s="7"/>
      <c r="B77" s="7"/>
      <c r="C77" s="7"/>
      <c r="D77" s="7"/>
      <c r="E77" s="7"/>
      <c r="F77" s="7"/>
      <c r="G77" s="7"/>
      <c r="H77" s="7"/>
      <c r="I77" s="7"/>
      <c r="J77" s="7"/>
      <c r="K77" s="7"/>
      <c r="L77" s="7"/>
      <c r="M77" s="7"/>
      <c r="N77" s="7"/>
      <c r="O77" s="7"/>
      <c r="P77" s="7"/>
      <c r="Q77" s="7"/>
      <c r="R77" s="7"/>
      <c r="S77" s="7"/>
      <c r="T77" s="7"/>
      <c r="U77" s="7"/>
      <c r="V77" s="7"/>
      <c r="W77" s="7"/>
      <c r="X77" s="7"/>
      <c r="Y77" s="7"/>
      <c r="Z77" s="7"/>
    </row>
    <row r="78" ht="14.25" customHeight="1">
      <c r="A78" s="7"/>
      <c r="B78" s="7"/>
      <c r="C78" s="7"/>
      <c r="D78" s="7"/>
      <c r="E78" s="7"/>
      <c r="F78" s="7"/>
      <c r="G78" s="7"/>
      <c r="H78" s="7"/>
      <c r="I78" s="7"/>
      <c r="J78" s="7"/>
      <c r="K78" s="7"/>
      <c r="L78" s="7"/>
      <c r="M78" s="7"/>
      <c r="N78" s="7"/>
      <c r="O78" s="7"/>
      <c r="P78" s="7"/>
      <c r="Q78" s="7"/>
      <c r="R78" s="7"/>
      <c r="S78" s="7"/>
      <c r="T78" s="7"/>
      <c r="U78" s="7"/>
      <c r="V78" s="7"/>
      <c r="W78" s="7"/>
      <c r="X78" s="7"/>
      <c r="Y78" s="7"/>
      <c r="Z78" s="7"/>
    </row>
    <row r="79" ht="14.25" customHeight="1">
      <c r="A79" s="7"/>
      <c r="B79" s="7"/>
      <c r="C79" s="7"/>
      <c r="D79" s="7"/>
      <c r="E79" s="7"/>
      <c r="F79" s="7"/>
      <c r="G79" s="7"/>
      <c r="H79" s="7"/>
      <c r="I79" s="7"/>
      <c r="J79" s="7"/>
      <c r="K79" s="7"/>
      <c r="L79" s="7"/>
      <c r="M79" s="7"/>
      <c r="N79" s="7"/>
      <c r="O79" s="7"/>
      <c r="P79" s="7"/>
      <c r="Q79" s="7"/>
      <c r="R79" s="7"/>
      <c r="S79" s="7"/>
      <c r="T79" s="7"/>
      <c r="U79" s="7"/>
      <c r="V79" s="7"/>
      <c r="W79" s="7"/>
      <c r="X79" s="7"/>
      <c r="Y79" s="7"/>
      <c r="Z79" s="7"/>
    </row>
    <row r="80" ht="14.25" customHeight="1">
      <c r="A80" s="7"/>
      <c r="B80" s="7"/>
      <c r="C80" s="7"/>
      <c r="D80" s="7"/>
      <c r="E80" s="7"/>
      <c r="F80" s="7"/>
      <c r="G80" s="7"/>
      <c r="H80" s="7"/>
      <c r="I80" s="7"/>
      <c r="J80" s="7"/>
      <c r="K80" s="7"/>
      <c r="L80" s="7"/>
      <c r="M80" s="7"/>
      <c r="N80" s="7"/>
      <c r="O80" s="7"/>
      <c r="P80" s="7"/>
      <c r="Q80" s="7"/>
      <c r="R80" s="7"/>
      <c r="S80" s="7"/>
      <c r="T80" s="7"/>
      <c r="U80" s="7"/>
      <c r="V80" s="7"/>
      <c r="W80" s="7"/>
      <c r="X80" s="7"/>
      <c r="Y80" s="7"/>
      <c r="Z80" s="7"/>
    </row>
    <row r="81" ht="14.25" customHeight="1">
      <c r="A81" s="7"/>
      <c r="B81" s="7"/>
      <c r="C81" s="7"/>
      <c r="D81" s="7"/>
      <c r="E81" s="7"/>
      <c r="F81" s="7"/>
      <c r="G81" s="7"/>
      <c r="H81" s="7"/>
      <c r="I81" s="7"/>
      <c r="J81" s="7"/>
      <c r="K81" s="7"/>
      <c r="L81" s="7"/>
      <c r="M81" s="7"/>
      <c r="N81" s="7"/>
      <c r="O81" s="7"/>
      <c r="P81" s="7"/>
      <c r="Q81" s="7"/>
      <c r="R81" s="7"/>
      <c r="S81" s="7"/>
      <c r="T81" s="7"/>
      <c r="U81" s="7"/>
      <c r="V81" s="7"/>
      <c r="W81" s="7"/>
      <c r="X81" s="7"/>
      <c r="Y81" s="7"/>
      <c r="Z81" s="7"/>
    </row>
    <row r="82" ht="14.25" customHeight="1">
      <c r="A82" s="7"/>
      <c r="B82" s="7"/>
      <c r="C82" s="7"/>
      <c r="D82" s="7"/>
      <c r="E82" s="7"/>
      <c r="F82" s="7"/>
      <c r="G82" s="7"/>
      <c r="H82" s="7"/>
      <c r="I82" s="7"/>
      <c r="J82" s="7"/>
      <c r="K82" s="7"/>
      <c r="L82" s="7"/>
      <c r="M82" s="7"/>
      <c r="N82" s="7"/>
      <c r="O82" s="7"/>
      <c r="P82" s="7"/>
      <c r="Q82" s="7"/>
      <c r="R82" s="7"/>
      <c r="S82" s="7"/>
      <c r="T82" s="7"/>
      <c r="U82" s="7"/>
      <c r="V82" s="7"/>
      <c r="W82" s="7"/>
      <c r="X82" s="7"/>
      <c r="Y82" s="7"/>
      <c r="Z82" s="7"/>
    </row>
    <row r="83" ht="14.25" customHeight="1">
      <c r="A83" s="7"/>
      <c r="B83" s="7"/>
      <c r="C83" s="7"/>
      <c r="D83" s="7"/>
      <c r="E83" s="7"/>
      <c r="F83" s="7"/>
      <c r="G83" s="7"/>
      <c r="H83" s="7"/>
      <c r="I83" s="7"/>
      <c r="J83" s="7"/>
      <c r="K83" s="7"/>
      <c r="L83" s="7"/>
      <c r="M83" s="7"/>
      <c r="N83" s="7"/>
      <c r="O83" s="7"/>
      <c r="P83" s="7"/>
      <c r="Q83" s="7"/>
      <c r="R83" s="7"/>
      <c r="S83" s="7"/>
      <c r="T83" s="7"/>
      <c r="U83" s="7"/>
      <c r="V83" s="7"/>
      <c r="W83" s="7"/>
      <c r="X83" s="7"/>
      <c r="Y83" s="7"/>
      <c r="Z83" s="7"/>
    </row>
    <row r="84" ht="14.25" customHeight="1">
      <c r="A84" s="7"/>
      <c r="B84" s="7"/>
      <c r="C84" s="7"/>
      <c r="D84" s="7"/>
      <c r="E84" s="7"/>
      <c r="F84" s="7"/>
      <c r="G84" s="7"/>
      <c r="H84" s="7"/>
      <c r="I84" s="7"/>
      <c r="J84" s="7"/>
      <c r="K84" s="7"/>
      <c r="L84" s="7"/>
      <c r="M84" s="7"/>
      <c r="N84" s="7"/>
      <c r="O84" s="7"/>
      <c r="P84" s="7"/>
      <c r="Q84" s="7"/>
      <c r="R84" s="7"/>
      <c r="S84" s="7"/>
      <c r="T84" s="7"/>
      <c r="U84" s="7"/>
      <c r="V84" s="7"/>
      <c r="W84" s="7"/>
      <c r="X84" s="7"/>
      <c r="Y84" s="7"/>
      <c r="Z84" s="7"/>
    </row>
    <row r="85" ht="14.2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4.2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4.2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4.2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4.2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4.2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4.2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4.2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4.2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4.2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4.2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4.2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4.2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4.2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4.2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4.2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4.2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4.2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4.2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4.2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4.2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4.2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4.2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4.2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12">
    <mergeCell ref="A16:A18"/>
    <mergeCell ref="B16:B18"/>
    <mergeCell ref="A20:A22"/>
    <mergeCell ref="B20:B22"/>
    <mergeCell ref="A28:J28"/>
    <mergeCell ref="A1:J1"/>
    <mergeCell ref="A4:A5"/>
    <mergeCell ref="B4:B5"/>
    <mergeCell ref="A8:A9"/>
    <mergeCell ref="B8:B9"/>
    <mergeCell ref="A11:A13"/>
    <mergeCell ref="B11:B13"/>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4.43" defaultRowHeight="15.0"/>
  <cols>
    <col customWidth="1" min="1" max="1" width="8.86"/>
    <col customWidth="1" min="2" max="2" width="8.71"/>
    <col customWidth="1" min="3" max="3" width="2.29"/>
    <col customWidth="1" min="4" max="26" width="8.71"/>
  </cols>
  <sheetData>
    <row r="1" ht="14.25" customHeight="1">
      <c r="A1" s="148"/>
      <c r="B1" s="149"/>
      <c r="C1" s="5" t="s">
        <v>246</v>
      </c>
      <c r="N1" s="7"/>
      <c r="O1" s="7"/>
      <c r="P1" s="7"/>
      <c r="Q1" s="7"/>
      <c r="R1" s="7"/>
      <c r="S1" s="7"/>
      <c r="T1" s="7"/>
      <c r="U1" s="7"/>
      <c r="V1" s="7"/>
      <c r="W1" s="7"/>
      <c r="X1" s="7"/>
      <c r="Y1" s="7"/>
      <c r="Z1" s="7"/>
    </row>
    <row r="2" ht="4.5" customHeight="1">
      <c r="A2" s="150"/>
      <c r="B2" s="149"/>
      <c r="N2" s="7"/>
      <c r="O2" s="7"/>
      <c r="P2" s="7"/>
      <c r="Q2" s="7"/>
      <c r="R2" s="7"/>
      <c r="S2" s="7"/>
      <c r="T2" s="7"/>
      <c r="U2" s="7"/>
      <c r="V2" s="7"/>
      <c r="W2" s="7"/>
      <c r="X2" s="7"/>
      <c r="Y2" s="7"/>
      <c r="Z2" s="7"/>
    </row>
    <row r="3" ht="14.25" customHeight="1">
      <c r="A3" s="151" t="s">
        <v>301</v>
      </c>
      <c r="B3" s="149"/>
      <c r="C3" s="5" t="s">
        <v>248</v>
      </c>
      <c r="N3" s="7"/>
      <c r="O3" s="7"/>
      <c r="P3" s="7"/>
      <c r="Q3" s="7"/>
      <c r="R3" s="7"/>
      <c r="S3" s="7"/>
      <c r="T3" s="7"/>
      <c r="U3" s="7"/>
      <c r="V3" s="7"/>
      <c r="W3" s="7"/>
      <c r="X3" s="7"/>
      <c r="Y3" s="7"/>
      <c r="Z3" s="7"/>
    </row>
    <row r="4" ht="14.25" customHeight="1">
      <c r="A4" s="152"/>
      <c r="B4" s="149"/>
      <c r="C4" s="5"/>
      <c r="D4" s="5"/>
      <c r="E4" s="5"/>
      <c r="F4" s="5"/>
      <c r="G4" s="5"/>
      <c r="H4" s="5"/>
      <c r="I4" s="5"/>
      <c r="J4" s="5"/>
      <c r="K4" s="5"/>
      <c r="L4" s="5"/>
      <c r="M4" s="5"/>
      <c r="N4" s="7"/>
      <c r="O4" s="7"/>
      <c r="P4" s="7"/>
      <c r="Q4" s="7"/>
      <c r="R4" s="7"/>
      <c r="S4" s="7"/>
      <c r="T4" s="7"/>
      <c r="U4" s="7"/>
      <c r="V4" s="7"/>
      <c r="W4" s="7"/>
      <c r="X4" s="7"/>
      <c r="Y4" s="7"/>
      <c r="Z4" s="7"/>
    </row>
    <row r="5" ht="14.25" customHeight="1">
      <c r="A5" s="152"/>
      <c r="B5" s="149"/>
      <c r="C5" s="153">
        <f>'Matrix - Part 2'!I28</f>
        <v>0</v>
      </c>
      <c r="N5" s="7"/>
      <c r="O5" s="7"/>
      <c r="P5" s="7"/>
      <c r="Q5" s="7"/>
      <c r="R5" s="7"/>
      <c r="S5" s="7"/>
      <c r="T5" s="7"/>
      <c r="U5" s="7"/>
      <c r="V5" s="7"/>
      <c r="W5" s="7"/>
      <c r="X5" s="7"/>
      <c r="Y5" s="7"/>
      <c r="Z5" s="7"/>
    </row>
    <row r="6" ht="14.25" customHeight="1">
      <c r="A6" s="152"/>
      <c r="B6" s="149"/>
      <c r="N6" s="7"/>
      <c r="O6" s="7"/>
      <c r="P6" s="7"/>
      <c r="Q6" s="7"/>
      <c r="R6" s="7"/>
      <c r="S6" s="7"/>
      <c r="T6" s="7"/>
      <c r="U6" s="7"/>
      <c r="V6" s="7"/>
      <c r="W6" s="7"/>
      <c r="X6" s="7"/>
      <c r="Y6" s="7"/>
      <c r="Z6" s="7"/>
    </row>
    <row r="7" ht="20.25" customHeight="1">
      <c r="A7" s="152"/>
      <c r="B7" s="149"/>
      <c r="C7" s="154" t="str">
        <f>VLOOKUP('Report - Part 3'!C5,'Matrix - Part 2'!A33:B62,2,FALSE)</f>
        <v>#N/A</v>
      </c>
      <c r="N7" s="7"/>
      <c r="O7" s="7"/>
      <c r="P7" s="7"/>
      <c r="Q7" s="7"/>
      <c r="R7" s="7"/>
      <c r="S7" s="7"/>
      <c r="T7" s="7"/>
      <c r="U7" s="7"/>
      <c r="V7" s="7"/>
      <c r="W7" s="7"/>
      <c r="X7" s="7"/>
      <c r="Y7" s="7"/>
      <c r="Z7" s="7"/>
    </row>
    <row r="8" ht="14.25" customHeight="1">
      <c r="A8" s="152"/>
      <c r="B8" s="149"/>
      <c r="C8" s="7"/>
      <c r="D8" s="117"/>
      <c r="E8" s="117"/>
      <c r="F8" s="117"/>
      <c r="G8" s="117"/>
      <c r="H8" s="117"/>
      <c r="I8" s="117"/>
      <c r="J8" s="117"/>
      <c r="K8" s="117"/>
      <c r="L8" s="117"/>
      <c r="M8" s="7"/>
      <c r="N8" s="7"/>
      <c r="O8" s="7"/>
      <c r="P8" s="7"/>
      <c r="Q8" s="7"/>
      <c r="R8" s="7"/>
      <c r="S8" s="7"/>
      <c r="T8" s="7"/>
      <c r="U8" s="7"/>
      <c r="V8" s="7"/>
      <c r="W8" s="7"/>
      <c r="X8" s="7"/>
      <c r="Y8" s="7"/>
      <c r="Z8" s="7"/>
    </row>
    <row r="9" ht="14.25" customHeight="1">
      <c r="A9" s="152"/>
      <c r="B9" s="149"/>
      <c r="C9" s="155" t="s">
        <v>249</v>
      </c>
      <c r="D9" s="156" t="str">
        <f>IFERROR(VLOOKUP('Matrix - Part 2'!I5,'Matrix - Part 2'!G6:H6,2,FALSE),"")&amp;CHAR(10)&amp;""&amp;CHAR(10)&amp;IFERROR(VLOOKUP('Matrix - Part 2'!I10,'Matrix - Part 2'!G12:H12,2,FALSE),"")</f>
        <v>
</v>
      </c>
      <c r="E9" s="95"/>
      <c r="F9" s="95"/>
      <c r="G9" s="95"/>
      <c r="H9" s="95"/>
      <c r="I9" s="95"/>
      <c r="J9" s="95"/>
      <c r="K9" s="95"/>
      <c r="L9" s="95"/>
      <c r="M9" s="96"/>
      <c r="N9" s="7"/>
      <c r="O9" s="7"/>
      <c r="P9" s="7"/>
      <c r="Q9" s="7"/>
      <c r="R9" s="7"/>
      <c r="S9" s="7"/>
      <c r="T9" s="7"/>
      <c r="U9" s="7"/>
      <c r="V9" s="7"/>
      <c r="W9" s="7"/>
      <c r="X9" s="7"/>
      <c r="Y9" s="7"/>
      <c r="Z9" s="7"/>
    </row>
    <row r="10" ht="14.25" customHeight="1">
      <c r="A10" s="152"/>
      <c r="B10" s="149"/>
      <c r="C10" s="152"/>
      <c r="D10" s="97"/>
      <c r="M10" s="67"/>
      <c r="N10" s="7"/>
      <c r="O10" s="7"/>
      <c r="P10" s="7"/>
      <c r="Q10" s="7"/>
      <c r="R10" s="7"/>
      <c r="S10" s="7"/>
      <c r="T10" s="7"/>
      <c r="U10" s="7"/>
      <c r="V10" s="7"/>
      <c r="W10" s="7"/>
      <c r="X10" s="7"/>
      <c r="Y10" s="7"/>
      <c r="Z10" s="7"/>
    </row>
    <row r="11" ht="14.25" customHeight="1">
      <c r="A11" s="152"/>
      <c r="B11" s="149"/>
      <c r="C11" s="152"/>
      <c r="D11" s="97"/>
      <c r="M11" s="67"/>
      <c r="N11" s="7"/>
      <c r="O11" s="7"/>
      <c r="P11" s="7"/>
      <c r="Q11" s="7"/>
      <c r="R11" s="7"/>
      <c r="S11" s="7"/>
      <c r="T11" s="7"/>
      <c r="U11" s="7"/>
      <c r="V11" s="7"/>
      <c r="W11" s="7"/>
      <c r="X11" s="7"/>
      <c r="Y11" s="7"/>
      <c r="Z11" s="7"/>
    </row>
    <row r="12" ht="14.25" customHeight="1">
      <c r="A12" s="152"/>
      <c r="B12" s="149"/>
      <c r="C12" s="152"/>
      <c r="D12" s="97"/>
      <c r="M12" s="67"/>
      <c r="N12" s="7"/>
      <c r="O12" s="7"/>
      <c r="P12" s="7"/>
      <c r="Q12" s="7"/>
      <c r="R12" s="7"/>
      <c r="S12" s="7"/>
      <c r="T12" s="7"/>
      <c r="U12" s="7"/>
      <c r="V12" s="7"/>
      <c r="W12" s="7"/>
      <c r="X12" s="7"/>
      <c r="Y12" s="7"/>
      <c r="Z12" s="7"/>
    </row>
    <row r="13" ht="14.25" customHeight="1">
      <c r="A13" s="152"/>
      <c r="B13" s="149"/>
      <c r="C13" s="152"/>
      <c r="D13" s="97"/>
      <c r="M13" s="67"/>
      <c r="N13" s="7"/>
      <c r="O13" s="7"/>
      <c r="P13" s="7"/>
      <c r="Q13" s="7"/>
      <c r="R13" s="7"/>
      <c r="S13" s="7"/>
      <c r="T13" s="7"/>
      <c r="U13" s="7"/>
      <c r="V13" s="7"/>
      <c r="W13" s="7"/>
      <c r="X13" s="7"/>
      <c r="Y13" s="7"/>
      <c r="Z13" s="7"/>
    </row>
    <row r="14" ht="14.25" customHeight="1">
      <c r="A14" s="152"/>
      <c r="B14" s="149"/>
      <c r="C14" s="152"/>
      <c r="D14" s="97"/>
      <c r="M14" s="67"/>
      <c r="N14" s="7"/>
      <c r="O14" s="7"/>
      <c r="P14" s="7"/>
      <c r="Q14" s="7"/>
      <c r="R14" s="7"/>
      <c r="S14" s="7"/>
      <c r="T14" s="7"/>
      <c r="U14" s="7"/>
      <c r="V14" s="7"/>
      <c r="W14" s="7"/>
      <c r="X14" s="7"/>
      <c r="Y14" s="7"/>
      <c r="Z14" s="7"/>
    </row>
    <row r="15" ht="14.25" customHeight="1">
      <c r="A15" s="152"/>
      <c r="B15" s="149"/>
      <c r="C15" s="152"/>
      <c r="D15" s="97"/>
      <c r="M15" s="67"/>
      <c r="N15" s="7"/>
      <c r="O15" s="7"/>
      <c r="P15" s="7"/>
      <c r="Q15" s="7"/>
      <c r="R15" s="7"/>
      <c r="S15" s="7"/>
      <c r="T15" s="7"/>
      <c r="U15" s="7"/>
      <c r="V15" s="7"/>
      <c r="W15" s="7"/>
      <c r="X15" s="7"/>
      <c r="Y15" s="7"/>
      <c r="Z15" s="7"/>
    </row>
    <row r="16" ht="45.0" customHeight="1">
      <c r="A16" s="152"/>
      <c r="B16" s="149"/>
      <c r="C16" s="157"/>
      <c r="D16" s="158"/>
      <c r="E16" s="159"/>
      <c r="F16" s="159"/>
      <c r="G16" s="159"/>
      <c r="H16" s="159"/>
      <c r="I16" s="159"/>
      <c r="J16" s="159"/>
      <c r="K16" s="159"/>
      <c r="L16" s="159"/>
      <c r="M16" s="160"/>
      <c r="N16" s="7"/>
      <c r="O16" s="7"/>
      <c r="P16" s="7"/>
      <c r="Q16" s="7"/>
      <c r="R16" s="7"/>
      <c r="S16" s="7"/>
      <c r="T16" s="7"/>
      <c r="U16" s="7"/>
      <c r="V16" s="7"/>
      <c r="W16" s="7"/>
      <c r="X16" s="7"/>
      <c r="Y16" s="7"/>
      <c r="Z16" s="7"/>
    </row>
    <row r="17" ht="14.25" customHeight="1">
      <c r="A17" s="152"/>
      <c r="B17" s="149"/>
      <c r="C17" s="161" t="s">
        <v>250</v>
      </c>
      <c r="D17" s="156" t="str">
        <f>IFERROR(VLOOKUP('Matrix - Part 2'!I10,'Matrix - Part 2'!G11:H11,2,FALSE),"")&amp;CHAR(10)&amp;""&amp;CHAR(10)&amp;IFERROR(VLOOKUP('Matrix - Part 2'!#REF!,'Matrix - Part 2'!#REF!,2,FALSE),"")</f>
        <v>#ERROR!</v>
      </c>
      <c r="E17" s="95"/>
      <c r="F17" s="95"/>
      <c r="G17" s="95"/>
      <c r="H17" s="95"/>
      <c r="I17" s="95"/>
      <c r="J17" s="95"/>
      <c r="K17" s="95"/>
      <c r="L17" s="95"/>
      <c r="M17" s="96"/>
      <c r="N17" s="7"/>
      <c r="O17" s="7"/>
      <c r="P17" s="7"/>
      <c r="Q17" s="7"/>
      <c r="R17" s="7"/>
      <c r="S17" s="7"/>
      <c r="T17" s="7"/>
      <c r="U17" s="7"/>
      <c r="V17" s="7"/>
      <c r="W17" s="7"/>
      <c r="X17" s="7"/>
      <c r="Y17" s="7"/>
      <c r="Z17" s="7"/>
    </row>
    <row r="18" ht="14.25" customHeight="1">
      <c r="A18" s="152"/>
      <c r="B18" s="149"/>
      <c r="C18" s="152"/>
      <c r="D18" s="97"/>
      <c r="M18" s="67"/>
      <c r="N18" s="7"/>
      <c r="O18" s="7"/>
      <c r="P18" s="7"/>
      <c r="Q18" s="7"/>
      <c r="R18" s="7"/>
      <c r="S18" s="7"/>
      <c r="T18" s="7"/>
      <c r="U18" s="7"/>
      <c r="V18" s="7"/>
      <c r="W18" s="7"/>
      <c r="X18" s="7"/>
      <c r="Y18" s="7"/>
      <c r="Z18" s="7"/>
    </row>
    <row r="19" ht="14.25" customHeight="1">
      <c r="A19" s="152"/>
      <c r="B19" s="149"/>
      <c r="C19" s="152"/>
      <c r="D19" s="97"/>
      <c r="M19" s="67"/>
      <c r="N19" s="7"/>
      <c r="O19" s="7"/>
      <c r="P19" s="7"/>
      <c r="Q19" s="7"/>
      <c r="R19" s="7"/>
      <c r="S19" s="7"/>
      <c r="T19" s="7"/>
      <c r="U19" s="7"/>
      <c r="V19" s="7"/>
      <c r="W19" s="7"/>
      <c r="X19" s="7"/>
      <c r="Y19" s="7"/>
      <c r="Z19" s="7"/>
    </row>
    <row r="20" ht="14.25" customHeight="1">
      <c r="A20" s="152"/>
      <c r="B20" s="149"/>
      <c r="C20" s="152"/>
      <c r="D20" s="97"/>
      <c r="M20" s="67"/>
      <c r="N20" s="7"/>
      <c r="O20" s="7"/>
      <c r="P20" s="7"/>
      <c r="Q20" s="7"/>
      <c r="R20" s="7"/>
      <c r="S20" s="7"/>
      <c r="T20" s="7"/>
      <c r="U20" s="7"/>
      <c r="V20" s="7"/>
      <c r="W20" s="7"/>
      <c r="X20" s="7"/>
      <c r="Y20" s="7"/>
      <c r="Z20" s="7"/>
    </row>
    <row r="21" ht="14.25" customHeight="1">
      <c r="A21" s="152"/>
      <c r="B21" s="149"/>
      <c r="C21" s="152"/>
      <c r="D21" s="97"/>
      <c r="M21" s="67"/>
      <c r="N21" s="7"/>
      <c r="O21" s="7"/>
      <c r="P21" s="7"/>
      <c r="Q21" s="7"/>
      <c r="R21" s="7"/>
      <c r="S21" s="7"/>
      <c r="T21" s="7"/>
      <c r="U21" s="7"/>
      <c r="V21" s="7"/>
      <c r="W21" s="7"/>
      <c r="X21" s="7"/>
      <c r="Y21" s="7"/>
      <c r="Z21" s="7"/>
    </row>
    <row r="22" ht="14.25" customHeight="1">
      <c r="A22" s="152"/>
      <c r="B22" s="149"/>
      <c r="C22" s="152"/>
      <c r="D22" s="97"/>
      <c r="M22" s="67"/>
      <c r="N22" s="7"/>
      <c r="O22" s="7"/>
      <c r="P22" s="7"/>
      <c r="Q22" s="7"/>
      <c r="R22" s="7"/>
      <c r="S22" s="7"/>
      <c r="T22" s="7"/>
      <c r="U22" s="7"/>
      <c r="V22" s="7"/>
      <c r="W22" s="7"/>
      <c r="X22" s="7"/>
      <c r="Y22" s="7"/>
      <c r="Z22" s="7"/>
    </row>
    <row r="23" ht="14.25" customHeight="1">
      <c r="A23" s="157"/>
      <c r="B23" s="149"/>
      <c r="C23" s="152"/>
      <c r="D23" s="97"/>
      <c r="M23" s="67"/>
      <c r="N23" s="7"/>
      <c r="O23" s="7"/>
      <c r="P23" s="7"/>
      <c r="Q23" s="7"/>
      <c r="R23" s="7"/>
      <c r="S23" s="7"/>
      <c r="T23" s="7"/>
      <c r="U23" s="7"/>
      <c r="V23" s="7"/>
      <c r="W23" s="7"/>
      <c r="X23" s="7"/>
      <c r="Y23" s="7"/>
      <c r="Z23" s="7"/>
    </row>
    <row r="24" ht="14.25" customHeight="1">
      <c r="A24" s="150"/>
      <c r="B24" s="149"/>
      <c r="C24" s="157"/>
      <c r="D24" s="158"/>
      <c r="E24" s="159"/>
      <c r="F24" s="159"/>
      <c r="G24" s="159"/>
      <c r="H24" s="159"/>
      <c r="I24" s="159"/>
      <c r="J24" s="159"/>
      <c r="K24" s="159"/>
      <c r="L24" s="159"/>
      <c r="M24" s="160"/>
      <c r="N24" s="7"/>
      <c r="O24" s="7"/>
      <c r="P24" s="7"/>
      <c r="Q24" s="7"/>
      <c r="R24" s="7"/>
      <c r="S24" s="7"/>
      <c r="T24" s="7"/>
      <c r="U24" s="7"/>
      <c r="V24" s="7"/>
      <c r="W24" s="7"/>
      <c r="X24" s="7"/>
      <c r="Y24" s="7"/>
      <c r="Z24" s="7"/>
    </row>
    <row r="25" ht="14.25" customHeight="1">
      <c r="A25" s="150"/>
      <c r="B25" s="149"/>
      <c r="C25" s="162" t="s">
        <v>251</v>
      </c>
      <c r="D25" s="156" t="str">
        <f>IFERROR(VLOOKUP('Matrix - Part 3'!I4,'Matrix - Part 3'!G5:H5,2,FALSE),"")&amp;CHAR(10)&amp;""&amp;CHAR(10)&amp;IFERROR(IF('Matrix - Part 3'!I4=2,"",VLOOKUP('Matrix - Part 3'!I5,'Matrix - Part 3'!G6:H6,2,FALSE)),"")</f>
        <v>
</v>
      </c>
      <c r="E25" s="95"/>
      <c r="F25" s="95"/>
      <c r="G25" s="95"/>
      <c r="H25" s="95"/>
      <c r="I25" s="95"/>
      <c r="J25" s="95"/>
      <c r="K25" s="95"/>
      <c r="L25" s="95"/>
      <c r="M25" s="96"/>
      <c r="N25" s="7"/>
      <c r="O25" s="7"/>
      <c r="P25" s="7"/>
      <c r="Q25" s="7"/>
      <c r="R25" s="7"/>
      <c r="S25" s="7"/>
      <c r="T25" s="7"/>
      <c r="U25" s="7"/>
      <c r="V25" s="7"/>
      <c r="W25" s="7"/>
      <c r="X25" s="7"/>
      <c r="Y25" s="7"/>
      <c r="Z25" s="7"/>
    </row>
    <row r="26" ht="14.25" customHeight="1">
      <c r="A26" s="150"/>
      <c r="B26" s="149"/>
      <c r="C26" s="152"/>
      <c r="D26" s="97"/>
      <c r="M26" s="67"/>
      <c r="N26" s="7"/>
      <c r="O26" s="7"/>
      <c r="P26" s="7"/>
      <c r="Q26" s="7"/>
      <c r="R26" s="7"/>
      <c r="S26" s="7"/>
      <c r="T26" s="7"/>
      <c r="U26" s="7"/>
      <c r="V26" s="7"/>
      <c r="W26" s="7"/>
      <c r="X26" s="7"/>
      <c r="Y26" s="7"/>
      <c r="Z26" s="7"/>
    </row>
    <row r="27" ht="14.25" customHeight="1">
      <c r="A27" s="150"/>
      <c r="B27" s="149"/>
      <c r="C27" s="152"/>
      <c r="D27" s="97"/>
      <c r="M27" s="67"/>
      <c r="N27" s="7"/>
      <c r="O27" s="7"/>
      <c r="P27" s="7"/>
      <c r="Q27" s="7"/>
      <c r="R27" s="7"/>
      <c r="S27" s="7"/>
      <c r="T27" s="7"/>
      <c r="U27" s="7"/>
      <c r="V27" s="7"/>
      <c r="W27" s="7"/>
      <c r="X27" s="7"/>
      <c r="Y27" s="7"/>
      <c r="Z27" s="7"/>
    </row>
    <row r="28" ht="14.25" customHeight="1">
      <c r="A28" s="150"/>
      <c r="B28" s="149"/>
      <c r="C28" s="152"/>
      <c r="D28" s="97"/>
      <c r="M28" s="67"/>
      <c r="N28" s="7"/>
      <c r="O28" s="7"/>
      <c r="P28" s="7"/>
      <c r="Q28" s="7"/>
      <c r="R28" s="7"/>
      <c r="S28" s="7"/>
      <c r="T28" s="7"/>
      <c r="U28" s="7"/>
      <c r="V28" s="7"/>
      <c r="W28" s="7"/>
      <c r="X28" s="7"/>
      <c r="Y28" s="7"/>
      <c r="Z28" s="7"/>
    </row>
    <row r="29" ht="14.25" customHeight="1">
      <c r="A29" s="150"/>
      <c r="B29" s="149"/>
      <c r="C29" s="152"/>
      <c r="D29" s="97"/>
      <c r="M29" s="67"/>
      <c r="N29" s="7"/>
      <c r="O29" s="7"/>
      <c r="P29" s="7"/>
      <c r="Q29" s="7"/>
      <c r="R29" s="7"/>
      <c r="S29" s="7"/>
      <c r="T29" s="7"/>
      <c r="U29" s="7"/>
      <c r="V29" s="7"/>
      <c r="W29" s="7"/>
      <c r="X29" s="7"/>
      <c r="Y29" s="7"/>
      <c r="Z29" s="7"/>
    </row>
    <row r="30" ht="14.25" customHeight="1">
      <c r="A30" s="150"/>
      <c r="B30" s="149"/>
      <c r="C30" s="152"/>
      <c r="D30" s="97"/>
      <c r="M30" s="67"/>
      <c r="N30" s="7"/>
      <c r="O30" s="7"/>
      <c r="P30" s="7"/>
      <c r="Q30" s="7"/>
      <c r="R30" s="7"/>
      <c r="S30" s="7"/>
      <c r="T30" s="7"/>
      <c r="U30" s="7"/>
      <c r="V30" s="7"/>
      <c r="W30" s="7"/>
      <c r="X30" s="7"/>
      <c r="Y30" s="7"/>
      <c r="Z30" s="7"/>
    </row>
    <row r="31" ht="14.25" customHeight="1">
      <c r="A31" s="150"/>
      <c r="B31" s="149"/>
      <c r="C31" s="152"/>
      <c r="D31" s="97"/>
      <c r="M31" s="67"/>
      <c r="N31" s="7"/>
      <c r="O31" s="7"/>
      <c r="P31" s="7"/>
      <c r="Q31" s="7"/>
      <c r="R31" s="7"/>
      <c r="S31" s="7"/>
      <c r="T31" s="7"/>
      <c r="U31" s="7"/>
      <c r="V31" s="7"/>
      <c r="W31" s="7"/>
      <c r="X31" s="7"/>
      <c r="Y31" s="7"/>
      <c r="Z31" s="7"/>
    </row>
    <row r="32" ht="14.25" customHeight="1">
      <c r="A32" s="150"/>
      <c r="B32" s="149"/>
      <c r="C32" s="157"/>
      <c r="D32" s="158"/>
      <c r="E32" s="159"/>
      <c r="F32" s="159"/>
      <c r="G32" s="159"/>
      <c r="H32" s="159"/>
      <c r="I32" s="159"/>
      <c r="J32" s="159"/>
      <c r="K32" s="159"/>
      <c r="L32" s="159"/>
      <c r="M32" s="160"/>
      <c r="N32" s="7"/>
      <c r="O32" s="7"/>
      <c r="P32" s="7"/>
      <c r="Q32" s="7"/>
      <c r="R32" s="7"/>
      <c r="S32" s="7"/>
      <c r="T32" s="7"/>
      <c r="U32" s="7"/>
      <c r="V32" s="7"/>
      <c r="W32" s="7"/>
      <c r="X32" s="7"/>
      <c r="Y32" s="7"/>
      <c r="Z32" s="7"/>
    </row>
    <row r="33" ht="14.25" customHeight="1">
      <c r="A33" s="149"/>
      <c r="B33" s="149"/>
      <c r="C33" s="7"/>
      <c r="D33" s="7"/>
      <c r="E33" s="7"/>
      <c r="F33" s="7"/>
      <c r="G33" s="7"/>
      <c r="H33" s="7"/>
      <c r="I33" s="7"/>
      <c r="J33" s="7"/>
      <c r="K33" s="7"/>
      <c r="L33" s="7"/>
      <c r="M33" s="7"/>
      <c r="N33" s="7"/>
      <c r="O33" s="7"/>
      <c r="P33" s="7"/>
      <c r="Q33" s="7"/>
      <c r="R33" s="7"/>
      <c r="S33" s="7"/>
      <c r="T33" s="7"/>
      <c r="U33" s="7"/>
      <c r="V33" s="7"/>
      <c r="W33" s="7"/>
      <c r="X33" s="7"/>
      <c r="Y33" s="7"/>
      <c r="Z33" s="7"/>
    </row>
    <row r="34" ht="14.25" customHeight="1">
      <c r="A34" s="149"/>
      <c r="B34" s="149"/>
      <c r="C34" s="7"/>
      <c r="D34" s="7"/>
      <c r="E34" s="7"/>
      <c r="F34" s="7"/>
      <c r="G34" s="7"/>
      <c r="H34" s="7"/>
      <c r="I34" s="7"/>
      <c r="J34" s="7"/>
      <c r="K34" s="7"/>
      <c r="L34" s="7"/>
      <c r="M34" s="7"/>
      <c r="N34" s="7"/>
      <c r="O34" s="7"/>
      <c r="P34" s="7"/>
      <c r="Q34" s="7"/>
      <c r="R34" s="7"/>
      <c r="S34" s="7"/>
      <c r="T34" s="7"/>
      <c r="U34" s="7"/>
      <c r="V34" s="7"/>
      <c r="W34" s="7"/>
      <c r="X34" s="7"/>
      <c r="Y34" s="7"/>
      <c r="Z34" s="7"/>
    </row>
    <row r="35" ht="14.25" customHeight="1">
      <c r="A35" s="149"/>
      <c r="B35" s="149"/>
      <c r="C35" s="7"/>
      <c r="D35" s="7"/>
      <c r="E35" s="7"/>
      <c r="F35" s="7"/>
      <c r="G35" s="7"/>
      <c r="H35" s="7"/>
      <c r="I35" s="7"/>
      <c r="J35" s="7"/>
      <c r="K35" s="7"/>
      <c r="L35" s="7"/>
      <c r="M35" s="7"/>
      <c r="N35" s="7"/>
      <c r="O35" s="7"/>
      <c r="P35" s="7"/>
      <c r="Q35" s="7"/>
      <c r="R35" s="7"/>
      <c r="S35" s="7"/>
      <c r="T35" s="7"/>
      <c r="U35" s="7"/>
      <c r="V35" s="7"/>
      <c r="W35" s="7"/>
      <c r="X35" s="7"/>
      <c r="Y35" s="7"/>
      <c r="Z35" s="7"/>
    </row>
    <row r="36" ht="14.25" customHeight="1">
      <c r="A36" s="149"/>
      <c r="B36" s="149"/>
      <c r="C36" s="7"/>
      <c r="D36" s="7"/>
      <c r="E36" s="7"/>
      <c r="F36" s="7"/>
      <c r="G36" s="7"/>
      <c r="H36" s="7"/>
      <c r="I36" s="7"/>
      <c r="J36" s="7"/>
      <c r="K36" s="7"/>
      <c r="L36" s="7"/>
      <c r="M36" s="7"/>
      <c r="N36" s="7"/>
      <c r="O36" s="7"/>
      <c r="P36" s="7"/>
      <c r="Q36" s="7"/>
      <c r="R36" s="7"/>
      <c r="S36" s="7"/>
      <c r="T36" s="7"/>
      <c r="U36" s="7"/>
      <c r="V36" s="7"/>
      <c r="W36" s="7"/>
      <c r="X36" s="7"/>
      <c r="Y36" s="7"/>
      <c r="Z36" s="7"/>
    </row>
    <row r="37" ht="14.25" customHeight="1">
      <c r="A37" s="7"/>
      <c r="B37" s="7"/>
      <c r="C37" s="7"/>
      <c r="D37" s="7"/>
      <c r="E37" s="7"/>
      <c r="F37" s="7"/>
      <c r="G37" s="7"/>
      <c r="H37" s="7"/>
      <c r="I37" s="7"/>
      <c r="J37" s="7"/>
      <c r="K37" s="7"/>
      <c r="L37" s="7"/>
      <c r="M37" s="7"/>
      <c r="N37" s="7"/>
      <c r="O37" s="7"/>
      <c r="P37" s="7"/>
      <c r="Q37" s="7"/>
      <c r="R37" s="7"/>
      <c r="S37" s="7"/>
      <c r="T37" s="7"/>
      <c r="U37" s="7"/>
      <c r="V37" s="7"/>
      <c r="W37" s="7"/>
      <c r="X37" s="7"/>
      <c r="Y37" s="7"/>
      <c r="Z37" s="7"/>
    </row>
    <row r="38" ht="14.25" customHeight="1">
      <c r="A38" s="7"/>
      <c r="B38" s="7"/>
      <c r="C38" s="7"/>
      <c r="D38" s="7"/>
      <c r="E38" s="7"/>
      <c r="F38" s="7"/>
      <c r="G38" s="7"/>
      <c r="H38" s="7"/>
      <c r="I38" s="7"/>
      <c r="J38" s="7"/>
      <c r="K38" s="7"/>
      <c r="L38" s="7"/>
      <c r="M38" s="7"/>
      <c r="N38" s="7"/>
      <c r="O38" s="7"/>
      <c r="P38" s="7"/>
      <c r="Q38" s="7"/>
      <c r="R38" s="7"/>
      <c r="S38" s="7"/>
      <c r="T38" s="7"/>
      <c r="U38" s="7"/>
      <c r="V38" s="7"/>
      <c r="W38" s="7"/>
      <c r="X38" s="7"/>
      <c r="Y38" s="7"/>
      <c r="Z38" s="7"/>
    </row>
    <row r="39" ht="14.25" customHeight="1">
      <c r="A39" s="7"/>
      <c r="B39" s="7"/>
      <c r="C39" s="7"/>
      <c r="D39" s="7"/>
      <c r="E39" s="7"/>
      <c r="F39" s="7"/>
      <c r="G39" s="7"/>
      <c r="H39" s="7"/>
      <c r="I39" s="7"/>
      <c r="J39" s="7"/>
      <c r="K39" s="7"/>
      <c r="L39" s="7"/>
      <c r="M39" s="7"/>
      <c r="N39" s="7"/>
      <c r="O39" s="7"/>
      <c r="P39" s="7"/>
      <c r="Q39" s="7"/>
      <c r="R39" s="7"/>
      <c r="S39" s="7"/>
      <c r="T39" s="7"/>
      <c r="U39" s="7"/>
      <c r="V39" s="7"/>
      <c r="W39" s="7"/>
      <c r="X39" s="7"/>
      <c r="Y39" s="7"/>
      <c r="Z39" s="7"/>
    </row>
    <row r="40" ht="14.25" customHeight="1">
      <c r="A40" s="7"/>
      <c r="B40" s="7"/>
      <c r="C40" s="7"/>
      <c r="D40" s="7"/>
      <c r="E40" s="7"/>
      <c r="F40" s="7"/>
      <c r="G40" s="7"/>
      <c r="H40" s="7"/>
      <c r="I40" s="7"/>
      <c r="J40" s="7"/>
      <c r="K40" s="7"/>
      <c r="L40" s="7"/>
      <c r="M40" s="7"/>
      <c r="N40" s="7"/>
      <c r="O40" s="7"/>
      <c r="P40" s="7"/>
      <c r="Q40" s="7"/>
      <c r="R40" s="7"/>
      <c r="S40" s="7"/>
      <c r="T40" s="7"/>
      <c r="U40" s="7"/>
      <c r="V40" s="7"/>
      <c r="W40" s="7"/>
      <c r="X40" s="7"/>
      <c r="Y40" s="7"/>
      <c r="Z40" s="7"/>
    </row>
    <row r="41" ht="14.25" customHeight="1">
      <c r="A41" s="7"/>
      <c r="B41" s="7"/>
      <c r="C41" s="7"/>
      <c r="D41" s="7"/>
      <c r="E41" s="7"/>
      <c r="F41" s="7"/>
      <c r="G41" s="7"/>
      <c r="H41" s="7"/>
      <c r="I41" s="7"/>
      <c r="J41" s="7"/>
      <c r="K41" s="7"/>
      <c r="L41" s="7"/>
      <c r="M41" s="7"/>
      <c r="N41" s="7"/>
      <c r="O41" s="7"/>
      <c r="P41" s="7"/>
      <c r="Q41" s="7"/>
      <c r="R41" s="7"/>
      <c r="S41" s="7"/>
      <c r="T41" s="7"/>
      <c r="U41" s="7"/>
      <c r="V41" s="7"/>
      <c r="W41" s="7"/>
      <c r="X41" s="7"/>
      <c r="Y41" s="7"/>
      <c r="Z41" s="7"/>
    </row>
    <row r="42" ht="14.25" customHeight="1">
      <c r="A42" s="7"/>
      <c r="B42" s="7"/>
      <c r="C42" s="7"/>
      <c r="D42" s="7"/>
      <c r="E42" s="7"/>
      <c r="F42" s="7"/>
      <c r="G42" s="7"/>
      <c r="H42" s="7"/>
      <c r="I42" s="7"/>
      <c r="J42" s="7"/>
      <c r="K42" s="7"/>
      <c r="L42" s="7"/>
      <c r="M42" s="7"/>
      <c r="N42" s="7"/>
      <c r="O42" s="7"/>
      <c r="P42" s="7"/>
      <c r="Q42" s="7"/>
      <c r="R42" s="7"/>
      <c r="S42" s="7"/>
      <c r="T42" s="7"/>
      <c r="U42" s="7"/>
      <c r="V42" s="7"/>
      <c r="W42" s="7"/>
      <c r="X42" s="7"/>
      <c r="Y42" s="7"/>
      <c r="Z42" s="7"/>
    </row>
    <row r="43" ht="14.25" customHeight="1">
      <c r="A43" s="7"/>
      <c r="B43" s="7"/>
      <c r="C43" s="7"/>
      <c r="D43" s="7"/>
      <c r="E43" s="7"/>
      <c r="F43" s="7"/>
      <c r="G43" s="7"/>
      <c r="H43" s="7"/>
      <c r="I43" s="7"/>
      <c r="J43" s="7"/>
      <c r="K43" s="7"/>
      <c r="L43" s="7"/>
      <c r="M43" s="7"/>
      <c r="N43" s="7"/>
      <c r="O43" s="7"/>
      <c r="P43" s="7"/>
      <c r="Q43" s="7"/>
      <c r="R43" s="7"/>
      <c r="S43" s="7"/>
      <c r="T43" s="7"/>
      <c r="U43" s="7"/>
      <c r="V43" s="7"/>
      <c r="W43" s="7"/>
      <c r="X43" s="7"/>
      <c r="Y43" s="7"/>
      <c r="Z43" s="7"/>
    </row>
    <row r="44" ht="14.25" customHeight="1">
      <c r="A44" s="7"/>
      <c r="B44" s="7"/>
      <c r="C44" s="7"/>
      <c r="D44" s="7"/>
      <c r="E44" s="7"/>
      <c r="F44" s="7"/>
      <c r="G44" s="7"/>
      <c r="H44" s="7"/>
      <c r="I44" s="7"/>
      <c r="J44" s="7"/>
      <c r="K44" s="7"/>
      <c r="L44" s="7"/>
      <c r="M44" s="7"/>
      <c r="N44" s="7"/>
      <c r="O44" s="7"/>
      <c r="P44" s="7"/>
      <c r="Q44" s="7"/>
      <c r="R44" s="7"/>
      <c r="S44" s="7"/>
      <c r="T44" s="7"/>
      <c r="U44" s="7"/>
      <c r="V44" s="7"/>
      <c r="W44" s="7"/>
      <c r="X44" s="7"/>
      <c r="Y44" s="7"/>
      <c r="Z44" s="7"/>
    </row>
    <row r="45" ht="14.25" customHeight="1">
      <c r="A45" s="7"/>
      <c r="B45" s="7"/>
      <c r="C45" s="7"/>
      <c r="D45" s="7"/>
      <c r="E45" s="7"/>
      <c r="F45" s="7"/>
      <c r="G45" s="7"/>
      <c r="H45" s="7"/>
      <c r="I45" s="7"/>
      <c r="J45" s="7"/>
      <c r="K45" s="7"/>
      <c r="L45" s="7"/>
      <c r="M45" s="7"/>
      <c r="N45" s="7"/>
      <c r="O45" s="7"/>
      <c r="P45" s="7"/>
      <c r="Q45" s="7"/>
      <c r="R45" s="7"/>
      <c r="S45" s="7"/>
      <c r="T45" s="7"/>
      <c r="U45" s="7"/>
      <c r="V45" s="7"/>
      <c r="W45" s="7"/>
      <c r="X45" s="7"/>
      <c r="Y45" s="7"/>
      <c r="Z45" s="7"/>
    </row>
    <row r="46" ht="14.25" customHeight="1">
      <c r="A46" s="7"/>
      <c r="B46" s="7"/>
      <c r="C46" s="7"/>
      <c r="D46" s="7"/>
      <c r="E46" s="7"/>
      <c r="F46" s="7"/>
      <c r="G46" s="7"/>
      <c r="H46" s="7"/>
      <c r="I46" s="7"/>
      <c r="J46" s="7"/>
      <c r="K46" s="7"/>
      <c r="L46" s="7"/>
      <c r="M46" s="7"/>
      <c r="N46" s="7"/>
      <c r="O46" s="7"/>
      <c r="P46" s="7"/>
      <c r="Q46" s="7"/>
      <c r="R46" s="7"/>
      <c r="S46" s="7"/>
      <c r="T46" s="7"/>
      <c r="U46" s="7"/>
      <c r="V46" s="7"/>
      <c r="W46" s="7"/>
      <c r="X46" s="7"/>
      <c r="Y46" s="7"/>
      <c r="Z46" s="7"/>
    </row>
    <row r="47" ht="14.25" customHeight="1">
      <c r="A47" s="7"/>
      <c r="B47" s="7"/>
      <c r="C47" s="7"/>
      <c r="D47" s="7"/>
      <c r="E47" s="7"/>
      <c r="F47" s="7"/>
      <c r="G47" s="7"/>
      <c r="H47" s="7"/>
      <c r="I47" s="7"/>
      <c r="J47" s="7"/>
      <c r="K47" s="7"/>
      <c r="L47" s="7"/>
      <c r="M47" s="7"/>
      <c r="N47" s="7"/>
      <c r="O47" s="7"/>
      <c r="P47" s="7"/>
      <c r="Q47" s="7"/>
      <c r="R47" s="7"/>
      <c r="S47" s="7"/>
      <c r="T47" s="7"/>
      <c r="U47" s="7"/>
      <c r="V47" s="7"/>
      <c r="W47" s="7"/>
      <c r="X47" s="7"/>
      <c r="Y47" s="7"/>
      <c r="Z47" s="7"/>
    </row>
    <row r="48" ht="14.25" customHeight="1">
      <c r="A48" s="7"/>
      <c r="B48" s="7"/>
      <c r="C48" s="7"/>
      <c r="D48" s="7"/>
      <c r="E48" s="7"/>
      <c r="F48" s="7"/>
      <c r="G48" s="7"/>
      <c r="H48" s="7"/>
      <c r="I48" s="7"/>
      <c r="J48" s="7"/>
      <c r="K48" s="7"/>
      <c r="L48" s="7"/>
      <c r="M48" s="7"/>
      <c r="N48" s="7"/>
      <c r="O48" s="7"/>
      <c r="P48" s="7"/>
      <c r="Q48" s="7"/>
      <c r="R48" s="7"/>
      <c r="S48" s="7"/>
      <c r="T48" s="7"/>
      <c r="U48" s="7"/>
      <c r="V48" s="7"/>
      <c r="W48" s="7"/>
      <c r="X48" s="7"/>
      <c r="Y48" s="7"/>
      <c r="Z48" s="7"/>
    </row>
    <row r="49" ht="14.25" customHeight="1">
      <c r="A49" s="7"/>
      <c r="B49" s="7"/>
      <c r="C49" s="7"/>
      <c r="D49" s="7"/>
      <c r="E49" s="7"/>
      <c r="F49" s="7"/>
      <c r="G49" s="7"/>
      <c r="H49" s="7"/>
      <c r="I49" s="7"/>
      <c r="J49" s="7"/>
      <c r="K49" s="7"/>
      <c r="L49" s="7"/>
      <c r="M49" s="7"/>
      <c r="N49" s="7"/>
      <c r="O49" s="7"/>
      <c r="P49" s="7"/>
      <c r="Q49" s="7"/>
      <c r="R49" s="7"/>
      <c r="S49" s="7"/>
      <c r="T49" s="7"/>
      <c r="U49" s="7"/>
      <c r="V49" s="7"/>
      <c r="W49" s="7"/>
      <c r="X49" s="7"/>
      <c r="Y49" s="7"/>
      <c r="Z49" s="7"/>
    </row>
    <row r="50" ht="14.25" customHeight="1">
      <c r="A50" s="7"/>
      <c r="B50" s="7"/>
      <c r="C50" s="7"/>
      <c r="D50" s="7"/>
      <c r="E50" s="7"/>
      <c r="F50" s="7"/>
      <c r="G50" s="7"/>
      <c r="H50" s="7"/>
      <c r="I50" s="7"/>
      <c r="J50" s="7"/>
      <c r="K50" s="7"/>
      <c r="L50" s="7"/>
      <c r="M50" s="7"/>
      <c r="N50" s="7"/>
      <c r="O50" s="7"/>
      <c r="P50" s="7"/>
      <c r="Q50" s="7"/>
      <c r="R50" s="7"/>
      <c r="S50" s="7"/>
      <c r="T50" s="7"/>
      <c r="U50" s="7"/>
      <c r="V50" s="7"/>
      <c r="W50" s="7"/>
      <c r="X50" s="7"/>
      <c r="Y50" s="7"/>
      <c r="Z50" s="7"/>
    </row>
    <row r="51" ht="14.25" customHeight="1">
      <c r="A51" s="7"/>
      <c r="B51" s="7"/>
      <c r="C51" s="7"/>
      <c r="D51" s="7"/>
      <c r="E51" s="7"/>
      <c r="F51" s="7"/>
      <c r="G51" s="7"/>
      <c r="H51" s="7"/>
      <c r="I51" s="7"/>
      <c r="J51" s="7"/>
      <c r="K51" s="7"/>
      <c r="L51" s="7"/>
      <c r="M51" s="7"/>
      <c r="N51" s="7"/>
      <c r="O51" s="7"/>
      <c r="P51" s="7"/>
      <c r="Q51" s="7"/>
      <c r="R51" s="7"/>
      <c r="S51" s="7"/>
      <c r="T51" s="7"/>
      <c r="U51" s="7"/>
      <c r="V51" s="7"/>
      <c r="W51" s="7"/>
      <c r="X51" s="7"/>
      <c r="Y51" s="7"/>
      <c r="Z51" s="7"/>
    </row>
    <row r="52" ht="14.25" customHeight="1">
      <c r="A52" s="7"/>
      <c r="B52" s="7"/>
      <c r="C52" s="7"/>
      <c r="D52" s="7"/>
      <c r="E52" s="7"/>
      <c r="F52" s="7"/>
      <c r="G52" s="7"/>
      <c r="H52" s="7"/>
      <c r="I52" s="7"/>
      <c r="J52" s="7"/>
      <c r="K52" s="7"/>
      <c r="L52" s="7"/>
      <c r="M52" s="7"/>
      <c r="N52" s="7"/>
      <c r="O52" s="7"/>
      <c r="P52" s="7"/>
      <c r="Q52" s="7"/>
      <c r="R52" s="7"/>
      <c r="S52" s="7"/>
      <c r="T52" s="7"/>
      <c r="U52" s="7"/>
      <c r="V52" s="7"/>
      <c r="W52" s="7"/>
      <c r="X52" s="7"/>
      <c r="Y52" s="7"/>
      <c r="Z52" s="7"/>
    </row>
    <row r="53" ht="14.25" customHeight="1">
      <c r="A53" s="7"/>
      <c r="B53" s="7"/>
      <c r="C53" s="7"/>
      <c r="D53" s="7"/>
      <c r="E53" s="7"/>
      <c r="F53" s="7"/>
      <c r="G53" s="7"/>
      <c r="H53" s="7"/>
      <c r="I53" s="7"/>
      <c r="J53" s="7"/>
      <c r="K53" s="7"/>
      <c r="L53" s="7"/>
      <c r="M53" s="7"/>
      <c r="N53" s="7"/>
      <c r="O53" s="7"/>
      <c r="P53" s="7"/>
      <c r="Q53" s="7"/>
      <c r="R53" s="7"/>
      <c r="S53" s="7"/>
      <c r="T53" s="7"/>
      <c r="U53" s="7"/>
      <c r="V53" s="7"/>
      <c r="W53" s="7"/>
      <c r="X53" s="7"/>
      <c r="Y53" s="7"/>
      <c r="Z53" s="7"/>
    </row>
    <row r="54" ht="14.25" customHeight="1">
      <c r="A54" s="7"/>
      <c r="B54" s="7"/>
      <c r="C54" s="7"/>
      <c r="D54" s="7"/>
      <c r="E54" s="7"/>
      <c r="F54" s="7"/>
      <c r="G54" s="7"/>
      <c r="H54" s="7"/>
      <c r="I54" s="7"/>
      <c r="J54" s="7"/>
      <c r="K54" s="7"/>
      <c r="L54" s="7"/>
      <c r="M54" s="7"/>
      <c r="N54" s="7"/>
      <c r="O54" s="7"/>
      <c r="P54" s="7"/>
      <c r="Q54" s="7"/>
      <c r="R54" s="7"/>
      <c r="S54" s="7"/>
      <c r="T54" s="7"/>
      <c r="U54" s="7"/>
      <c r="V54" s="7"/>
      <c r="W54" s="7"/>
      <c r="X54" s="7"/>
      <c r="Y54" s="7"/>
      <c r="Z54" s="7"/>
    </row>
    <row r="55" ht="14.25" customHeight="1">
      <c r="A55" s="7"/>
      <c r="B55" s="7"/>
      <c r="C55" s="7"/>
      <c r="D55" s="7"/>
      <c r="E55" s="7"/>
      <c r="F55" s="7"/>
      <c r="G55" s="7"/>
      <c r="H55" s="7"/>
      <c r="I55" s="7"/>
      <c r="J55" s="7"/>
      <c r="K55" s="7"/>
      <c r="L55" s="7"/>
      <c r="M55" s="7"/>
      <c r="N55" s="7"/>
      <c r="O55" s="7"/>
      <c r="P55" s="7"/>
      <c r="Q55" s="7"/>
      <c r="R55" s="7"/>
      <c r="S55" s="7"/>
      <c r="T55" s="7"/>
      <c r="U55" s="7"/>
      <c r="V55" s="7"/>
      <c r="W55" s="7"/>
      <c r="X55" s="7"/>
      <c r="Y55" s="7"/>
      <c r="Z55" s="7"/>
    </row>
    <row r="56" ht="14.25" customHeight="1">
      <c r="A56" s="7"/>
      <c r="B56" s="7"/>
      <c r="C56" s="7"/>
      <c r="D56" s="7"/>
      <c r="E56" s="7"/>
      <c r="F56" s="7"/>
      <c r="G56" s="7"/>
      <c r="H56" s="7"/>
      <c r="I56" s="7"/>
      <c r="J56" s="7"/>
      <c r="K56" s="7"/>
      <c r="L56" s="7"/>
      <c r="M56" s="7"/>
      <c r="N56" s="7"/>
      <c r="O56" s="7"/>
      <c r="P56" s="7"/>
      <c r="Q56" s="7"/>
      <c r="R56" s="7"/>
      <c r="S56" s="7"/>
      <c r="T56" s="7"/>
      <c r="U56" s="7"/>
      <c r="V56" s="7"/>
      <c r="W56" s="7"/>
      <c r="X56" s="7"/>
      <c r="Y56" s="7"/>
      <c r="Z56" s="7"/>
    </row>
    <row r="57" ht="14.25" customHeight="1">
      <c r="A57" s="7"/>
      <c r="B57" s="7"/>
      <c r="C57" s="7"/>
      <c r="D57" s="7"/>
      <c r="E57" s="7"/>
      <c r="F57" s="7"/>
      <c r="G57" s="7"/>
      <c r="H57" s="7"/>
      <c r="I57" s="7"/>
      <c r="J57" s="7"/>
      <c r="K57" s="7"/>
      <c r="L57" s="7"/>
      <c r="M57" s="7"/>
      <c r="N57" s="7"/>
      <c r="O57" s="7"/>
      <c r="P57" s="7"/>
      <c r="Q57" s="7"/>
      <c r="R57" s="7"/>
      <c r="S57" s="7"/>
      <c r="T57" s="7"/>
      <c r="U57" s="7"/>
      <c r="V57" s="7"/>
      <c r="W57" s="7"/>
      <c r="X57" s="7"/>
      <c r="Y57" s="7"/>
      <c r="Z57" s="7"/>
    </row>
    <row r="58" ht="14.25" customHeight="1">
      <c r="A58" s="7"/>
      <c r="B58" s="7"/>
      <c r="C58" s="7"/>
      <c r="D58" s="7"/>
      <c r="E58" s="7"/>
      <c r="F58" s="7"/>
      <c r="G58" s="7"/>
      <c r="H58" s="7"/>
      <c r="I58" s="7"/>
      <c r="J58" s="7"/>
      <c r="K58" s="7"/>
      <c r="L58" s="7"/>
      <c r="M58" s="7"/>
      <c r="N58" s="7"/>
      <c r="O58" s="7"/>
      <c r="P58" s="7"/>
      <c r="Q58" s="7"/>
      <c r="R58" s="7"/>
      <c r="S58" s="7"/>
      <c r="T58" s="7"/>
      <c r="U58" s="7"/>
      <c r="V58" s="7"/>
      <c r="W58" s="7"/>
      <c r="X58" s="7"/>
      <c r="Y58" s="7"/>
      <c r="Z58" s="7"/>
    </row>
    <row r="59" ht="14.25" customHeight="1">
      <c r="A59" s="7"/>
      <c r="B59" s="7"/>
      <c r="C59" s="7"/>
      <c r="D59" s="7"/>
      <c r="E59" s="7"/>
      <c r="F59" s="7"/>
      <c r="G59" s="7"/>
      <c r="H59" s="7"/>
      <c r="I59" s="7"/>
      <c r="J59" s="7"/>
      <c r="K59" s="7"/>
      <c r="L59" s="7"/>
      <c r="M59" s="7"/>
      <c r="N59" s="7"/>
      <c r="O59" s="7"/>
      <c r="P59" s="7"/>
      <c r="Q59" s="7"/>
      <c r="R59" s="7"/>
      <c r="S59" s="7"/>
      <c r="T59" s="7"/>
      <c r="U59" s="7"/>
      <c r="V59" s="7"/>
      <c r="W59" s="7"/>
      <c r="X59" s="7"/>
      <c r="Y59" s="7"/>
      <c r="Z59" s="7"/>
    </row>
    <row r="60" ht="14.25" customHeight="1">
      <c r="A60" s="7"/>
      <c r="B60" s="7"/>
      <c r="C60" s="7"/>
      <c r="D60" s="7"/>
      <c r="E60" s="7"/>
      <c r="F60" s="7"/>
      <c r="G60" s="7"/>
      <c r="H60" s="7"/>
      <c r="I60" s="7"/>
      <c r="J60" s="7"/>
      <c r="K60" s="7"/>
      <c r="L60" s="7"/>
      <c r="M60" s="7"/>
      <c r="N60" s="7"/>
      <c r="O60" s="7"/>
      <c r="P60" s="7"/>
      <c r="Q60" s="7"/>
      <c r="R60" s="7"/>
      <c r="S60" s="7"/>
      <c r="T60" s="7"/>
      <c r="U60" s="7"/>
      <c r="V60" s="7"/>
      <c r="W60" s="7"/>
      <c r="X60" s="7"/>
      <c r="Y60" s="7"/>
      <c r="Z60" s="7"/>
    </row>
    <row r="61" ht="14.25" customHeight="1">
      <c r="A61" s="7"/>
      <c r="B61" s="7"/>
      <c r="C61" s="7"/>
      <c r="D61" s="7"/>
      <c r="E61" s="7"/>
      <c r="F61" s="7"/>
      <c r="G61" s="7"/>
      <c r="H61" s="7"/>
      <c r="I61" s="7"/>
      <c r="J61" s="7"/>
      <c r="K61" s="7"/>
      <c r="L61" s="7"/>
      <c r="M61" s="7"/>
      <c r="N61" s="7"/>
      <c r="O61" s="7"/>
      <c r="P61" s="7"/>
      <c r="Q61" s="7"/>
      <c r="R61" s="7"/>
      <c r="S61" s="7"/>
      <c r="T61" s="7"/>
      <c r="U61" s="7"/>
      <c r="V61" s="7"/>
      <c r="W61" s="7"/>
      <c r="X61" s="7"/>
      <c r="Y61" s="7"/>
      <c r="Z61" s="7"/>
    </row>
    <row r="62" ht="14.25" customHeight="1">
      <c r="A62" s="7"/>
      <c r="B62" s="7"/>
      <c r="C62" s="7"/>
      <c r="D62" s="7"/>
      <c r="E62" s="7"/>
      <c r="F62" s="7"/>
      <c r="G62" s="7"/>
      <c r="H62" s="7"/>
      <c r="I62" s="7"/>
      <c r="J62" s="7"/>
      <c r="K62" s="7"/>
      <c r="L62" s="7"/>
      <c r="M62" s="7"/>
      <c r="N62" s="7"/>
      <c r="O62" s="7"/>
      <c r="P62" s="7"/>
      <c r="Q62" s="7"/>
      <c r="R62" s="7"/>
      <c r="S62" s="7"/>
      <c r="T62" s="7"/>
      <c r="U62" s="7"/>
      <c r="V62" s="7"/>
      <c r="W62" s="7"/>
      <c r="X62" s="7"/>
      <c r="Y62" s="7"/>
      <c r="Z62" s="7"/>
    </row>
    <row r="63" ht="14.25" customHeight="1">
      <c r="A63" s="7"/>
      <c r="B63" s="7"/>
      <c r="C63" s="7"/>
      <c r="D63" s="7"/>
      <c r="E63" s="7"/>
      <c r="F63" s="7"/>
      <c r="G63" s="7"/>
      <c r="H63" s="7"/>
      <c r="I63" s="7"/>
      <c r="J63" s="7"/>
      <c r="K63" s="7"/>
      <c r="L63" s="7"/>
      <c r="M63" s="7"/>
      <c r="N63" s="7"/>
      <c r="O63" s="7"/>
      <c r="P63" s="7"/>
      <c r="Q63" s="7"/>
      <c r="R63" s="7"/>
      <c r="S63" s="7"/>
      <c r="T63" s="7"/>
      <c r="U63" s="7"/>
      <c r="V63" s="7"/>
      <c r="W63" s="7"/>
      <c r="X63" s="7"/>
      <c r="Y63" s="7"/>
      <c r="Z63" s="7"/>
    </row>
    <row r="64" ht="14.25" customHeight="1">
      <c r="A64" s="7"/>
      <c r="B64" s="7"/>
      <c r="C64" s="7"/>
      <c r="D64" s="7"/>
      <c r="E64" s="7"/>
      <c r="F64" s="7"/>
      <c r="G64" s="7"/>
      <c r="H64" s="7"/>
      <c r="I64" s="7"/>
      <c r="J64" s="7"/>
      <c r="K64" s="7"/>
      <c r="L64" s="7"/>
      <c r="M64" s="7"/>
      <c r="N64" s="7"/>
      <c r="O64" s="7"/>
      <c r="P64" s="7"/>
      <c r="Q64" s="7"/>
      <c r="R64" s="7"/>
      <c r="S64" s="7"/>
      <c r="T64" s="7"/>
      <c r="U64" s="7"/>
      <c r="V64" s="7"/>
      <c r="W64" s="7"/>
      <c r="X64" s="7"/>
      <c r="Y64" s="7"/>
      <c r="Z64" s="7"/>
    </row>
    <row r="65" ht="14.25" customHeight="1">
      <c r="A65" s="7"/>
      <c r="B65" s="7"/>
      <c r="C65" s="7"/>
      <c r="D65" s="7"/>
      <c r="E65" s="7"/>
      <c r="F65" s="7"/>
      <c r="G65" s="7"/>
      <c r="H65" s="7"/>
      <c r="I65" s="7"/>
      <c r="J65" s="7"/>
      <c r="K65" s="7"/>
      <c r="L65" s="7"/>
      <c r="M65" s="7"/>
      <c r="N65" s="7"/>
      <c r="O65" s="7"/>
      <c r="P65" s="7"/>
      <c r="Q65" s="7"/>
      <c r="R65" s="7"/>
      <c r="S65" s="7"/>
      <c r="T65" s="7"/>
      <c r="U65" s="7"/>
      <c r="V65" s="7"/>
      <c r="W65" s="7"/>
      <c r="X65" s="7"/>
      <c r="Y65" s="7"/>
      <c r="Z65" s="7"/>
    </row>
    <row r="66" ht="14.25" customHeight="1">
      <c r="A66" s="7"/>
      <c r="B66" s="7"/>
      <c r="C66" s="7"/>
      <c r="D66" s="7"/>
      <c r="E66" s="7"/>
      <c r="F66" s="7"/>
      <c r="G66" s="7"/>
      <c r="H66" s="7"/>
      <c r="I66" s="7"/>
      <c r="J66" s="7"/>
      <c r="K66" s="7"/>
      <c r="L66" s="7"/>
      <c r="M66" s="7"/>
      <c r="N66" s="7"/>
      <c r="O66" s="7"/>
      <c r="P66" s="7"/>
      <c r="Q66" s="7"/>
      <c r="R66" s="7"/>
      <c r="S66" s="7"/>
      <c r="T66" s="7"/>
      <c r="U66" s="7"/>
      <c r="V66" s="7"/>
      <c r="W66" s="7"/>
      <c r="X66" s="7"/>
      <c r="Y66" s="7"/>
      <c r="Z66" s="7"/>
    </row>
    <row r="67" ht="14.25" customHeight="1">
      <c r="A67" s="7"/>
      <c r="B67" s="7"/>
      <c r="C67" s="7"/>
      <c r="D67" s="7"/>
      <c r="E67" s="7"/>
      <c r="F67" s="7"/>
      <c r="G67" s="7"/>
      <c r="H67" s="7"/>
      <c r="I67" s="7"/>
      <c r="J67" s="7"/>
      <c r="K67" s="7"/>
      <c r="L67" s="7"/>
      <c r="M67" s="7"/>
      <c r="N67" s="7"/>
      <c r="O67" s="7"/>
      <c r="P67" s="7"/>
      <c r="Q67" s="7"/>
      <c r="R67" s="7"/>
      <c r="S67" s="7"/>
      <c r="T67" s="7"/>
      <c r="U67" s="7"/>
      <c r="V67" s="7"/>
      <c r="W67" s="7"/>
      <c r="X67" s="7"/>
      <c r="Y67" s="7"/>
      <c r="Z67" s="7"/>
    </row>
    <row r="68" ht="14.25" customHeight="1">
      <c r="A68" s="7"/>
      <c r="B68" s="7"/>
      <c r="C68" s="7"/>
      <c r="D68" s="7"/>
      <c r="E68" s="7"/>
      <c r="F68" s="7"/>
      <c r="G68" s="7"/>
      <c r="H68" s="7"/>
      <c r="I68" s="7"/>
      <c r="J68" s="7"/>
      <c r="K68" s="7"/>
      <c r="L68" s="7"/>
      <c r="M68" s="7"/>
      <c r="N68" s="7"/>
      <c r="O68" s="7"/>
      <c r="P68" s="7"/>
      <c r="Q68" s="7"/>
      <c r="R68" s="7"/>
      <c r="S68" s="7"/>
      <c r="T68" s="7"/>
      <c r="U68" s="7"/>
      <c r="V68" s="7"/>
      <c r="W68" s="7"/>
      <c r="X68" s="7"/>
      <c r="Y68" s="7"/>
      <c r="Z68" s="7"/>
    </row>
    <row r="69" ht="14.25" customHeight="1">
      <c r="A69" s="7"/>
      <c r="B69" s="7"/>
      <c r="C69" s="7"/>
      <c r="D69" s="7"/>
      <c r="E69" s="7"/>
      <c r="F69" s="7"/>
      <c r="G69" s="7"/>
      <c r="H69" s="7"/>
      <c r="I69" s="7"/>
      <c r="J69" s="7"/>
      <c r="K69" s="7"/>
      <c r="L69" s="7"/>
      <c r="M69" s="7"/>
      <c r="N69" s="7"/>
      <c r="O69" s="7"/>
      <c r="P69" s="7"/>
      <c r="Q69" s="7"/>
      <c r="R69" s="7"/>
      <c r="S69" s="7"/>
      <c r="T69" s="7"/>
      <c r="U69" s="7"/>
      <c r="V69" s="7"/>
      <c r="W69" s="7"/>
      <c r="X69" s="7"/>
      <c r="Y69" s="7"/>
      <c r="Z69" s="7"/>
    </row>
    <row r="70" ht="14.25" customHeight="1">
      <c r="A70" s="7"/>
      <c r="B70" s="7"/>
      <c r="C70" s="7"/>
      <c r="D70" s="7"/>
      <c r="E70" s="7"/>
      <c r="F70" s="7"/>
      <c r="G70" s="7"/>
      <c r="H70" s="7"/>
      <c r="I70" s="7"/>
      <c r="J70" s="7"/>
      <c r="K70" s="7"/>
      <c r="L70" s="7"/>
      <c r="M70" s="7"/>
      <c r="N70" s="7"/>
      <c r="O70" s="7"/>
      <c r="P70" s="7"/>
      <c r="Q70" s="7"/>
      <c r="R70" s="7"/>
      <c r="S70" s="7"/>
      <c r="T70" s="7"/>
      <c r="U70" s="7"/>
      <c r="V70" s="7"/>
      <c r="W70" s="7"/>
      <c r="X70" s="7"/>
      <c r="Y70" s="7"/>
      <c r="Z70" s="7"/>
    </row>
    <row r="71" ht="14.25" customHeight="1">
      <c r="A71" s="7"/>
      <c r="B71" s="7"/>
      <c r="C71" s="7"/>
      <c r="D71" s="7"/>
      <c r="E71" s="7"/>
      <c r="F71" s="7"/>
      <c r="G71" s="7"/>
      <c r="H71" s="7"/>
      <c r="I71" s="7"/>
      <c r="J71" s="7"/>
      <c r="K71" s="7"/>
      <c r="L71" s="7"/>
      <c r="M71" s="7"/>
      <c r="N71" s="7"/>
      <c r="O71" s="7"/>
      <c r="P71" s="7"/>
      <c r="Q71" s="7"/>
      <c r="R71" s="7"/>
      <c r="S71" s="7"/>
      <c r="T71" s="7"/>
      <c r="U71" s="7"/>
      <c r="V71" s="7"/>
      <c r="W71" s="7"/>
      <c r="X71" s="7"/>
      <c r="Y71" s="7"/>
      <c r="Z71" s="7"/>
    </row>
    <row r="72" ht="14.25" customHeight="1">
      <c r="A72" s="7"/>
      <c r="B72" s="7"/>
      <c r="C72" s="7"/>
      <c r="D72" s="7"/>
      <c r="E72" s="7"/>
      <c r="F72" s="7"/>
      <c r="G72" s="7"/>
      <c r="H72" s="7"/>
      <c r="I72" s="7"/>
      <c r="J72" s="7"/>
      <c r="K72" s="7"/>
      <c r="L72" s="7"/>
      <c r="M72" s="7"/>
      <c r="N72" s="7"/>
      <c r="O72" s="7"/>
      <c r="P72" s="7"/>
      <c r="Q72" s="7"/>
      <c r="R72" s="7"/>
      <c r="S72" s="7"/>
      <c r="T72" s="7"/>
      <c r="U72" s="7"/>
      <c r="V72" s="7"/>
      <c r="W72" s="7"/>
      <c r="X72" s="7"/>
      <c r="Y72" s="7"/>
      <c r="Z72" s="7"/>
    </row>
    <row r="73" ht="14.25" customHeight="1">
      <c r="A73" s="7"/>
      <c r="B73" s="7"/>
      <c r="C73" s="7"/>
      <c r="D73" s="7"/>
      <c r="E73" s="7"/>
      <c r="F73" s="7"/>
      <c r="G73" s="7"/>
      <c r="H73" s="7"/>
      <c r="I73" s="7"/>
      <c r="J73" s="7"/>
      <c r="K73" s="7"/>
      <c r="L73" s="7"/>
      <c r="M73" s="7"/>
      <c r="N73" s="7"/>
      <c r="O73" s="7"/>
      <c r="P73" s="7"/>
      <c r="Q73" s="7"/>
      <c r="R73" s="7"/>
      <c r="S73" s="7"/>
      <c r="T73" s="7"/>
      <c r="U73" s="7"/>
      <c r="V73" s="7"/>
      <c r="W73" s="7"/>
      <c r="X73" s="7"/>
      <c r="Y73" s="7"/>
      <c r="Z73" s="7"/>
    </row>
    <row r="74" ht="14.25" customHeight="1">
      <c r="A74" s="7"/>
      <c r="B74" s="7"/>
      <c r="C74" s="7"/>
      <c r="D74" s="7"/>
      <c r="E74" s="7"/>
      <c r="F74" s="7"/>
      <c r="G74" s="7"/>
      <c r="H74" s="7"/>
      <c r="I74" s="7"/>
      <c r="J74" s="7"/>
      <c r="K74" s="7"/>
      <c r="L74" s="7"/>
      <c r="M74" s="7"/>
      <c r="N74" s="7"/>
      <c r="O74" s="7"/>
      <c r="P74" s="7"/>
      <c r="Q74" s="7"/>
      <c r="R74" s="7"/>
      <c r="S74" s="7"/>
      <c r="T74" s="7"/>
      <c r="U74" s="7"/>
      <c r="V74" s="7"/>
      <c r="W74" s="7"/>
      <c r="X74" s="7"/>
      <c r="Y74" s="7"/>
      <c r="Z74" s="7"/>
    </row>
    <row r="75" ht="14.2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7"/>
      <c r="B76" s="7"/>
      <c r="C76" s="7"/>
      <c r="D76" s="7"/>
      <c r="E76" s="7"/>
      <c r="F76" s="7"/>
      <c r="G76" s="7"/>
      <c r="H76" s="7"/>
      <c r="I76" s="7"/>
      <c r="J76" s="7"/>
      <c r="K76" s="7"/>
      <c r="L76" s="7"/>
      <c r="M76" s="7"/>
      <c r="N76" s="7"/>
      <c r="O76" s="7"/>
      <c r="P76" s="7"/>
      <c r="Q76" s="7"/>
      <c r="R76" s="7"/>
      <c r="S76" s="7"/>
      <c r="T76" s="7"/>
      <c r="U76" s="7"/>
      <c r="V76" s="7"/>
      <c r="W76" s="7"/>
      <c r="X76" s="7"/>
      <c r="Y76" s="7"/>
      <c r="Z76" s="7"/>
    </row>
    <row r="77" ht="14.25" customHeight="1">
      <c r="A77" s="7"/>
      <c r="B77" s="7"/>
      <c r="C77" s="7"/>
      <c r="D77" s="7"/>
      <c r="E77" s="7"/>
      <c r="F77" s="7"/>
      <c r="G77" s="7"/>
      <c r="H77" s="7"/>
      <c r="I77" s="7"/>
      <c r="J77" s="7"/>
      <c r="K77" s="7"/>
      <c r="L77" s="7"/>
      <c r="M77" s="7"/>
      <c r="N77" s="7"/>
      <c r="O77" s="7"/>
      <c r="P77" s="7"/>
      <c r="Q77" s="7"/>
      <c r="R77" s="7"/>
      <c r="S77" s="7"/>
      <c r="T77" s="7"/>
      <c r="U77" s="7"/>
      <c r="V77" s="7"/>
      <c r="W77" s="7"/>
      <c r="X77" s="7"/>
      <c r="Y77" s="7"/>
      <c r="Z77" s="7"/>
    </row>
    <row r="78" ht="14.25" customHeight="1">
      <c r="A78" s="7"/>
      <c r="B78" s="7"/>
      <c r="C78" s="7"/>
      <c r="D78" s="7"/>
      <c r="E78" s="7"/>
      <c r="F78" s="7"/>
      <c r="G78" s="7"/>
      <c r="H78" s="7"/>
      <c r="I78" s="7"/>
      <c r="J78" s="7"/>
      <c r="K78" s="7"/>
      <c r="L78" s="7"/>
      <c r="M78" s="7"/>
      <c r="N78" s="7"/>
      <c r="O78" s="7"/>
      <c r="P78" s="7"/>
      <c r="Q78" s="7"/>
      <c r="R78" s="7"/>
      <c r="S78" s="7"/>
      <c r="T78" s="7"/>
      <c r="U78" s="7"/>
      <c r="V78" s="7"/>
      <c r="W78" s="7"/>
      <c r="X78" s="7"/>
      <c r="Y78" s="7"/>
      <c r="Z78" s="7"/>
    </row>
    <row r="79" ht="14.25" customHeight="1">
      <c r="A79" s="7"/>
      <c r="B79" s="7"/>
      <c r="C79" s="7"/>
      <c r="D79" s="7"/>
      <c r="E79" s="7"/>
      <c r="F79" s="7"/>
      <c r="G79" s="7"/>
      <c r="H79" s="7"/>
      <c r="I79" s="7"/>
      <c r="J79" s="7"/>
      <c r="K79" s="7"/>
      <c r="L79" s="7"/>
      <c r="M79" s="7"/>
      <c r="N79" s="7"/>
      <c r="O79" s="7"/>
      <c r="P79" s="7"/>
      <c r="Q79" s="7"/>
      <c r="R79" s="7"/>
      <c r="S79" s="7"/>
      <c r="T79" s="7"/>
      <c r="U79" s="7"/>
      <c r="V79" s="7"/>
      <c r="W79" s="7"/>
      <c r="X79" s="7"/>
      <c r="Y79" s="7"/>
      <c r="Z79" s="7"/>
    </row>
    <row r="80" ht="14.25" customHeight="1">
      <c r="A80" s="7"/>
      <c r="B80" s="7"/>
      <c r="C80" s="7"/>
      <c r="D80" s="7"/>
      <c r="E80" s="7"/>
      <c r="F80" s="7"/>
      <c r="G80" s="7"/>
      <c r="H80" s="7"/>
      <c r="I80" s="7"/>
      <c r="J80" s="7"/>
      <c r="K80" s="7"/>
      <c r="L80" s="7"/>
      <c r="M80" s="7"/>
      <c r="N80" s="7"/>
      <c r="O80" s="7"/>
      <c r="P80" s="7"/>
      <c r="Q80" s="7"/>
      <c r="R80" s="7"/>
      <c r="S80" s="7"/>
      <c r="T80" s="7"/>
      <c r="U80" s="7"/>
      <c r="V80" s="7"/>
      <c r="W80" s="7"/>
      <c r="X80" s="7"/>
      <c r="Y80" s="7"/>
      <c r="Z80" s="7"/>
    </row>
    <row r="81" ht="14.25" customHeight="1">
      <c r="A81" s="7"/>
      <c r="B81" s="7"/>
      <c r="C81" s="7"/>
      <c r="D81" s="7"/>
      <c r="E81" s="7"/>
      <c r="F81" s="7"/>
      <c r="G81" s="7"/>
      <c r="H81" s="7"/>
      <c r="I81" s="7"/>
      <c r="J81" s="7"/>
      <c r="K81" s="7"/>
      <c r="L81" s="7"/>
      <c r="M81" s="7"/>
      <c r="N81" s="7"/>
      <c r="O81" s="7"/>
      <c r="P81" s="7"/>
      <c r="Q81" s="7"/>
      <c r="R81" s="7"/>
      <c r="S81" s="7"/>
      <c r="T81" s="7"/>
      <c r="U81" s="7"/>
      <c r="V81" s="7"/>
      <c r="W81" s="7"/>
      <c r="X81" s="7"/>
      <c r="Y81" s="7"/>
      <c r="Z81" s="7"/>
    </row>
    <row r="82" ht="14.25" customHeight="1">
      <c r="A82" s="7"/>
      <c r="B82" s="7"/>
      <c r="C82" s="7"/>
      <c r="D82" s="7"/>
      <c r="E82" s="7"/>
      <c r="F82" s="7"/>
      <c r="G82" s="7"/>
      <c r="H82" s="7"/>
      <c r="I82" s="7"/>
      <c r="J82" s="7"/>
      <c r="K82" s="7"/>
      <c r="L82" s="7"/>
      <c r="M82" s="7"/>
      <c r="N82" s="7"/>
      <c r="O82" s="7"/>
      <c r="P82" s="7"/>
      <c r="Q82" s="7"/>
      <c r="R82" s="7"/>
      <c r="S82" s="7"/>
      <c r="T82" s="7"/>
      <c r="U82" s="7"/>
      <c r="V82" s="7"/>
      <c r="W82" s="7"/>
      <c r="X82" s="7"/>
      <c r="Y82" s="7"/>
      <c r="Z82" s="7"/>
    </row>
    <row r="83" ht="14.25" customHeight="1">
      <c r="A83" s="7"/>
      <c r="B83" s="7"/>
      <c r="C83" s="7"/>
      <c r="D83" s="7"/>
      <c r="E83" s="7"/>
      <c r="F83" s="7"/>
      <c r="G83" s="7"/>
      <c r="H83" s="7"/>
      <c r="I83" s="7"/>
      <c r="J83" s="7"/>
      <c r="K83" s="7"/>
      <c r="L83" s="7"/>
      <c r="M83" s="7"/>
      <c r="N83" s="7"/>
      <c r="O83" s="7"/>
      <c r="P83" s="7"/>
      <c r="Q83" s="7"/>
      <c r="R83" s="7"/>
      <c r="S83" s="7"/>
      <c r="T83" s="7"/>
      <c r="U83" s="7"/>
      <c r="V83" s="7"/>
      <c r="W83" s="7"/>
      <c r="X83" s="7"/>
      <c r="Y83" s="7"/>
      <c r="Z83" s="7"/>
    </row>
    <row r="84" ht="14.25" customHeight="1">
      <c r="A84" s="7"/>
      <c r="B84" s="7"/>
      <c r="C84" s="7"/>
      <c r="D84" s="7"/>
      <c r="E84" s="7"/>
      <c r="F84" s="7"/>
      <c r="G84" s="7"/>
      <c r="H84" s="7"/>
      <c r="I84" s="7"/>
      <c r="J84" s="7"/>
      <c r="K84" s="7"/>
      <c r="L84" s="7"/>
      <c r="M84" s="7"/>
      <c r="N84" s="7"/>
      <c r="O84" s="7"/>
      <c r="P84" s="7"/>
      <c r="Q84" s="7"/>
      <c r="R84" s="7"/>
      <c r="S84" s="7"/>
      <c r="T84" s="7"/>
      <c r="U84" s="7"/>
      <c r="V84" s="7"/>
      <c r="W84" s="7"/>
      <c r="X84" s="7"/>
      <c r="Y84" s="7"/>
      <c r="Z84" s="7"/>
    </row>
    <row r="85" ht="14.2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4.2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4.2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4.2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4.2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4.2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4.2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4.2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4.2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4.2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4.2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4.2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4.2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4.2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4.2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4.2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4.2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4.2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4.2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4.2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4.2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4.2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4.2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4.2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11">
    <mergeCell ref="C17:C24"/>
    <mergeCell ref="D17:M24"/>
    <mergeCell ref="C25:C32"/>
    <mergeCell ref="D25:M32"/>
    <mergeCell ref="C1:M2"/>
    <mergeCell ref="A3:A23"/>
    <mergeCell ref="C3:M3"/>
    <mergeCell ref="C5:M6"/>
    <mergeCell ref="C7:M7"/>
    <mergeCell ref="C9:C16"/>
    <mergeCell ref="D9:M16"/>
  </mergeCells>
  <conditionalFormatting sqref="C5">
    <cfRule type="cellIs" dxfId="0" priority="1" operator="greaterThan">
      <formula>3.5</formula>
    </cfRule>
  </conditionalFormatting>
  <conditionalFormatting sqref="C5">
    <cfRule type="cellIs" dxfId="4" priority="2" operator="between">
      <formula>2.4</formula>
      <formula>3.3</formula>
    </cfRule>
  </conditionalFormatting>
  <conditionalFormatting sqref="C5">
    <cfRule type="cellIs" dxfId="5" priority="3" operator="between">
      <formula>1.5</formula>
      <formula>2.3</formula>
    </cfRule>
  </conditionalFormatting>
  <conditionalFormatting sqref="C5">
    <cfRule type="cellIs" dxfId="6" priority="4" operator="lessThanOrEqual">
      <formula>1.4</formula>
    </cfRule>
  </conditionalFormatting>
  <conditionalFormatting sqref="C7:M7">
    <cfRule type="expression" dxfId="7" priority="5">
      <formula>IdentifyColor(B5)=HEX2DEC("FFE999")</formula>
    </cfRule>
  </conditionalFormatting>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4.43" defaultRowHeight="15.0"/>
  <cols>
    <col customWidth="1" min="1" max="26" width="8.71"/>
  </cols>
  <sheetData>
    <row r="1" ht="14.25" customHeight="1">
      <c r="A1" s="57"/>
      <c r="B1" s="57"/>
      <c r="C1" s="57"/>
      <c r="D1" s="57"/>
      <c r="E1" s="57"/>
      <c r="F1" s="57"/>
      <c r="G1" s="57"/>
      <c r="H1" s="2" t="s">
        <v>302</v>
      </c>
      <c r="N1" s="57"/>
      <c r="O1" s="7"/>
      <c r="P1" s="7"/>
      <c r="Q1" s="7"/>
      <c r="R1" s="7"/>
      <c r="S1" s="7"/>
      <c r="T1" s="7"/>
      <c r="U1" s="7"/>
      <c r="V1" s="7"/>
      <c r="W1" s="7"/>
      <c r="X1" s="7"/>
      <c r="Y1" s="7"/>
      <c r="Z1" s="7"/>
    </row>
    <row r="2" ht="14.25" customHeight="1">
      <c r="A2" s="58"/>
      <c r="B2" s="58"/>
      <c r="C2" s="58"/>
      <c r="D2" s="58"/>
      <c r="E2" s="58"/>
      <c r="F2" s="58"/>
      <c r="G2" s="58"/>
      <c r="N2" s="58"/>
      <c r="O2" s="7"/>
      <c r="P2" s="7"/>
      <c r="Q2" s="7"/>
      <c r="R2" s="7"/>
      <c r="S2" s="7"/>
      <c r="T2" s="7"/>
      <c r="U2" s="7"/>
      <c r="V2" s="7"/>
      <c r="W2" s="7"/>
      <c r="X2" s="7"/>
      <c r="Y2" s="7"/>
      <c r="Z2" s="7"/>
    </row>
    <row r="3" ht="14.25" customHeight="1">
      <c r="A3" s="58"/>
      <c r="B3" s="58"/>
      <c r="C3" s="58"/>
      <c r="D3" s="58"/>
      <c r="E3" s="58"/>
      <c r="F3" s="58"/>
      <c r="G3" s="58"/>
      <c r="N3" s="58"/>
      <c r="O3" s="7"/>
      <c r="P3" s="7"/>
      <c r="Q3" s="7"/>
      <c r="R3" s="7"/>
      <c r="S3" s="7"/>
      <c r="T3" s="7"/>
      <c r="U3" s="7"/>
      <c r="V3" s="7"/>
      <c r="W3" s="7"/>
      <c r="X3" s="7"/>
      <c r="Y3" s="7"/>
      <c r="Z3" s="7"/>
    </row>
    <row r="4" ht="8.25" customHeight="1">
      <c r="A4" s="58"/>
      <c r="B4" s="58"/>
      <c r="C4" s="58"/>
      <c r="D4" s="58"/>
      <c r="E4" s="58"/>
      <c r="F4" s="58"/>
      <c r="G4" s="58"/>
      <c r="H4" s="58"/>
      <c r="I4" s="58"/>
      <c r="J4" s="58"/>
      <c r="K4" s="58"/>
      <c r="L4" s="58"/>
      <c r="M4" s="58"/>
      <c r="N4" s="58"/>
      <c r="O4" s="7"/>
      <c r="P4" s="7"/>
      <c r="Q4" s="7"/>
      <c r="R4" s="7"/>
      <c r="S4" s="7"/>
      <c r="T4" s="7"/>
      <c r="U4" s="7"/>
      <c r="V4" s="7"/>
      <c r="W4" s="7"/>
      <c r="X4" s="7"/>
      <c r="Y4" s="7"/>
      <c r="Z4" s="7"/>
    </row>
    <row r="5" ht="14.25" customHeight="1">
      <c r="A5" s="7"/>
      <c r="B5" s="7"/>
      <c r="C5" s="7"/>
      <c r="D5" s="7"/>
      <c r="E5" s="7"/>
      <c r="F5" s="7"/>
      <c r="G5" s="7"/>
      <c r="H5" s="7"/>
      <c r="I5" s="7"/>
      <c r="J5" s="7"/>
      <c r="K5" s="7"/>
      <c r="L5" s="7"/>
      <c r="M5" s="7"/>
      <c r="N5" s="7"/>
      <c r="O5" s="7"/>
      <c r="P5" s="7"/>
      <c r="Q5" s="7"/>
      <c r="R5" s="7"/>
      <c r="S5" s="7"/>
      <c r="T5" s="7"/>
      <c r="U5" s="7"/>
      <c r="V5" s="7"/>
      <c r="W5" s="7"/>
      <c r="X5" s="7"/>
      <c r="Y5" s="7"/>
      <c r="Z5" s="7"/>
    </row>
    <row r="6" ht="14.25" customHeight="1">
      <c r="A6" s="7"/>
      <c r="B6" s="51" t="s">
        <v>64</v>
      </c>
      <c r="E6" s="8" t="s">
        <v>65</v>
      </c>
      <c r="N6" s="7"/>
      <c r="O6" s="7"/>
      <c r="P6" s="7"/>
      <c r="Q6" s="7"/>
      <c r="R6" s="7"/>
      <c r="S6" s="7"/>
      <c r="T6" s="7"/>
      <c r="U6" s="7"/>
      <c r="V6" s="7"/>
      <c r="W6" s="7"/>
      <c r="X6" s="7"/>
      <c r="Y6" s="7"/>
      <c r="Z6" s="7"/>
    </row>
    <row r="7" ht="14.25" customHeight="1">
      <c r="A7" s="60"/>
      <c r="B7" s="82">
        <f>'Matrix - Part 3'!I26</f>
        <v>0</v>
      </c>
      <c r="E7" s="83" t="str">
        <f>VLOOKUP(B7,'Matrix - Part 3'!A31:B60,2,FALSE)</f>
        <v>#N/A</v>
      </c>
      <c r="F7" s="84"/>
      <c r="G7" s="84"/>
      <c r="H7" s="84"/>
      <c r="I7" s="84"/>
      <c r="J7" s="84"/>
      <c r="K7" s="84"/>
      <c r="L7" s="84"/>
      <c r="M7" s="85"/>
      <c r="N7" s="7"/>
      <c r="O7" s="7"/>
      <c r="P7" s="7"/>
      <c r="Q7" s="7"/>
      <c r="R7" s="7"/>
      <c r="S7" s="7"/>
      <c r="T7" s="7"/>
      <c r="U7" s="7"/>
      <c r="V7" s="7"/>
      <c r="W7" s="7"/>
      <c r="X7" s="7"/>
      <c r="Y7" s="7"/>
      <c r="Z7" s="7"/>
    </row>
    <row r="8" ht="14.25" customHeight="1">
      <c r="A8" s="60"/>
      <c r="E8" s="86"/>
      <c r="M8" s="87"/>
      <c r="N8" s="7"/>
      <c r="O8" s="7"/>
      <c r="P8" s="7"/>
      <c r="Q8" s="7"/>
      <c r="R8" s="7"/>
      <c r="S8" s="7"/>
      <c r="T8" s="7"/>
      <c r="U8" s="7"/>
      <c r="V8" s="7"/>
      <c r="W8" s="7"/>
      <c r="X8" s="7"/>
      <c r="Y8" s="7"/>
      <c r="Z8" s="7"/>
    </row>
    <row r="9" ht="14.25" customHeight="1">
      <c r="A9" s="60"/>
      <c r="E9" s="88"/>
      <c r="F9" s="89"/>
      <c r="G9" s="89"/>
      <c r="H9" s="89"/>
      <c r="I9" s="89"/>
      <c r="J9" s="89"/>
      <c r="K9" s="89"/>
      <c r="L9" s="89"/>
      <c r="M9" s="90"/>
      <c r="N9" s="7"/>
      <c r="O9" s="7"/>
      <c r="P9" s="7"/>
      <c r="Q9" s="7"/>
      <c r="R9" s="7"/>
      <c r="S9" s="7"/>
      <c r="T9" s="7"/>
      <c r="U9" s="7"/>
      <c r="V9" s="7"/>
      <c r="W9" s="7"/>
      <c r="X9" s="7"/>
      <c r="Y9" s="7"/>
      <c r="Z9" s="7"/>
    </row>
    <row r="10" ht="14.25" customHeight="1">
      <c r="A10" s="60"/>
      <c r="B10" s="139"/>
      <c r="C10" s="139"/>
      <c r="D10" s="139"/>
      <c r="E10" s="77"/>
      <c r="F10" s="77"/>
      <c r="G10" s="77"/>
      <c r="H10" s="77"/>
      <c r="I10" s="77"/>
      <c r="J10" s="77"/>
      <c r="K10" s="77"/>
      <c r="L10" s="77"/>
      <c r="M10" s="77"/>
      <c r="N10" s="7"/>
      <c r="O10" s="7"/>
      <c r="P10" s="7"/>
      <c r="Q10" s="7"/>
      <c r="R10" s="7"/>
      <c r="S10" s="7"/>
      <c r="T10" s="7"/>
      <c r="U10" s="7"/>
      <c r="V10" s="7"/>
      <c r="W10" s="7"/>
      <c r="X10" s="7"/>
      <c r="Y10" s="7"/>
      <c r="Z10" s="7"/>
    </row>
    <row r="11" ht="14.25" customHeight="1">
      <c r="A11" s="60"/>
      <c r="B11" s="91" t="s">
        <v>66</v>
      </c>
      <c r="C11" s="14"/>
      <c r="D11" s="14"/>
      <c r="E11" s="15"/>
      <c r="F11" s="92" t="s">
        <v>67</v>
      </c>
      <c r="G11" s="14"/>
      <c r="H11" s="14"/>
      <c r="I11" s="15"/>
      <c r="J11" s="93" t="s">
        <v>68</v>
      </c>
      <c r="K11" s="14"/>
      <c r="L11" s="14"/>
      <c r="M11" s="15"/>
      <c r="N11" s="7"/>
      <c r="O11" s="7"/>
      <c r="P11" s="7"/>
      <c r="Q11" s="7"/>
      <c r="R11" s="7"/>
      <c r="S11" s="7"/>
      <c r="T11" s="7"/>
      <c r="U11" s="7"/>
      <c r="V11" s="7"/>
      <c r="W11" s="7"/>
      <c r="X11" s="7"/>
      <c r="Y11" s="7"/>
      <c r="Z11" s="7"/>
    </row>
    <row r="12" ht="15.0" customHeight="1">
      <c r="A12" s="7"/>
      <c r="B12" s="140" t="str">
        <f>IFERROR(VLOOKUP('Matrix - Part 2'!I5,'Matrix - Part 2'!G6:H6,2,FALSE),"")&amp;CHAR(10)&amp;""&amp;CHAR(10)&amp;IFERROR(VLOOKUP('Matrix - Part 2'!I10,'Matrix - Part 2'!G12:H12,2,FALSE),"")&amp;CHAR(10)&amp;""&amp;IFERROR(VLOOKUP('Matrix - Part 3'!I8,'Matrix - Part 3'!G9:H9,2,FALSE),"")&amp;CHAR(10)&amp;""&amp;CHAR(10)&amp;IFERROR(VLOOKUP('Matrix - Part 3'!I11,'Matrix - Part 3'!G14:H14,2,FALSE),"")&amp;CHAR(10)&amp;""&amp;CHAR(10)&amp;IFERROR(VLOOKUP('Matrix - Part 3'!I20,'Matrix - Part 3'!G23:H23,2,FALSE),"")</f>
        <v>
</v>
      </c>
      <c r="C12" s="141"/>
      <c r="D12" s="141"/>
      <c r="E12" s="142"/>
      <c r="F12" s="140" t="str">
        <f>IFERROR(VLOOKUP('Matrix - Part 2'!I10,'Matrix - Part 2'!G11:H11,2,FALSE),"")&amp;CHAR(10)&amp;""&amp;CHAR(10)&amp;IFERROR(VLOOKUP('Matrix - Part 2'!#REF!,'Matrix - Part 2'!#REF!,2,FALSE),"")&amp;CHAR(10)&amp;""&amp;CHAR(10)&amp;IFERROR(VLOOKUP('Matrix - Part 3'!I16,'Matrix - Part 3'!G18:H18,2,FALSE),"")</f>
        <v>#ERROR!</v>
      </c>
      <c r="G12" s="141"/>
      <c r="H12" s="141"/>
      <c r="I12" s="142"/>
      <c r="J12" s="140" t="str">
        <f>IFERROR(VLOOKUP('Matrix - Part 3'!I4,'Matrix - Part 3'!G5:H5,2,FALSE),"")&amp;CHAR(10)&amp;""&amp;IFERROR(IF('Matrix - Part 3'!I4=2,"",VLOOKUP('Matrix - Part 3'!I5,'Matrix - Part 3'!G6:H6,2,FALSE)),"")&amp;CHAR(10)&amp;""&amp;IFERROR(VLOOKUP('Matrix - Part 3'!I11,'Matrix - Part 3'!G13:H13,2,FALSE),"")&amp;CHAR(10)&amp;""&amp;IFERROR(VLOOKUP('Matrix - Part 3'!I20,'Matrix - Part 3'!G22:H22,2,FALSE),"")</f>
        <v>
</v>
      </c>
      <c r="K12" s="141"/>
      <c r="L12" s="141"/>
      <c r="M12" s="142"/>
      <c r="N12" s="7"/>
      <c r="O12" s="7"/>
      <c r="P12" s="7"/>
      <c r="Q12" s="7"/>
      <c r="R12" s="7"/>
      <c r="S12" s="7"/>
      <c r="T12" s="7"/>
      <c r="U12" s="7"/>
      <c r="V12" s="7"/>
      <c r="W12" s="7"/>
      <c r="X12" s="7"/>
      <c r="Y12" s="7"/>
      <c r="Z12" s="7"/>
    </row>
    <row r="13" ht="14.25" customHeight="1">
      <c r="A13" s="7"/>
      <c r="B13" s="143"/>
      <c r="E13" s="144"/>
      <c r="F13" s="143"/>
      <c r="I13" s="144"/>
      <c r="J13" s="143"/>
      <c r="M13" s="144"/>
      <c r="N13" s="7"/>
      <c r="O13" s="7"/>
      <c r="P13" s="7"/>
      <c r="Q13" s="7"/>
      <c r="R13" s="7"/>
      <c r="S13" s="7"/>
      <c r="T13" s="7"/>
      <c r="U13" s="7"/>
      <c r="V13" s="7"/>
      <c r="W13" s="7"/>
      <c r="X13" s="7"/>
      <c r="Y13" s="7"/>
      <c r="Z13" s="7"/>
    </row>
    <row r="14" ht="14.25" customHeight="1">
      <c r="A14" s="7"/>
      <c r="B14" s="143"/>
      <c r="E14" s="144"/>
      <c r="F14" s="143"/>
      <c r="I14" s="144"/>
      <c r="J14" s="143"/>
      <c r="M14" s="144"/>
      <c r="N14" s="7"/>
      <c r="O14" s="7"/>
      <c r="P14" s="7"/>
      <c r="Q14" s="7"/>
      <c r="R14" s="7"/>
      <c r="S14" s="7"/>
      <c r="T14" s="7"/>
      <c r="U14" s="7"/>
      <c r="V14" s="7"/>
      <c r="W14" s="7"/>
      <c r="X14" s="7"/>
      <c r="Y14" s="7"/>
      <c r="Z14" s="7"/>
    </row>
    <row r="15" ht="14.25" customHeight="1">
      <c r="A15" s="7"/>
      <c r="B15" s="143"/>
      <c r="E15" s="144"/>
      <c r="F15" s="143"/>
      <c r="I15" s="144"/>
      <c r="J15" s="143"/>
      <c r="M15" s="144"/>
      <c r="N15" s="7"/>
      <c r="O15" s="7"/>
      <c r="P15" s="7"/>
      <c r="Q15" s="7"/>
      <c r="R15" s="7"/>
      <c r="S15" s="7"/>
      <c r="T15" s="7"/>
      <c r="U15" s="7"/>
      <c r="V15" s="7"/>
      <c r="W15" s="7"/>
      <c r="X15" s="7"/>
      <c r="Y15" s="7"/>
      <c r="Z15" s="7"/>
    </row>
    <row r="16" ht="14.25" customHeight="1">
      <c r="A16" s="7"/>
      <c r="B16" s="143"/>
      <c r="E16" s="144"/>
      <c r="F16" s="143"/>
      <c r="I16" s="144"/>
      <c r="J16" s="143"/>
      <c r="M16" s="144"/>
      <c r="N16" s="7"/>
      <c r="O16" s="7"/>
      <c r="P16" s="7"/>
      <c r="Q16" s="7"/>
      <c r="R16" s="7"/>
      <c r="S16" s="7"/>
      <c r="T16" s="7"/>
      <c r="U16" s="7"/>
      <c r="V16" s="7"/>
      <c r="W16" s="7"/>
      <c r="X16" s="7"/>
      <c r="Y16" s="7"/>
      <c r="Z16" s="7"/>
    </row>
    <row r="17" ht="14.25" customHeight="1">
      <c r="A17" s="7"/>
      <c r="B17" s="143"/>
      <c r="E17" s="144"/>
      <c r="F17" s="143"/>
      <c r="I17" s="144"/>
      <c r="J17" s="143"/>
      <c r="M17" s="144"/>
      <c r="N17" s="7"/>
      <c r="O17" s="7"/>
      <c r="P17" s="7"/>
      <c r="Q17" s="7"/>
      <c r="R17" s="7"/>
      <c r="S17" s="7"/>
      <c r="T17" s="7"/>
      <c r="U17" s="7"/>
      <c r="V17" s="7"/>
      <c r="W17" s="7"/>
      <c r="X17" s="7"/>
      <c r="Y17" s="7"/>
      <c r="Z17" s="7"/>
    </row>
    <row r="18" ht="14.25" customHeight="1">
      <c r="A18" s="7"/>
      <c r="B18" s="143"/>
      <c r="E18" s="144"/>
      <c r="F18" s="143"/>
      <c r="I18" s="144"/>
      <c r="J18" s="143"/>
      <c r="M18" s="144"/>
      <c r="N18" s="7"/>
      <c r="O18" s="7"/>
      <c r="P18" s="7"/>
      <c r="Q18" s="7"/>
      <c r="R18" s="7"/>
      <c r="S18" s="7"/>
      <c r="T18" s="7"/>
      <c r="U18" s="7"/>
      <c r="V18" s="7"/>
      <c r="W18" s="7"/>
      <c r="X18" s="7"/>
      <c r="Y18" s="7"/>
      <c r="Z18" s="7"/>
    </row>
    <row r="19" ht="14.25" customHeight="1">
      <c r="A19" s="7"/>
      <c r="B19" s="143"/>
      <c r="E19" s="144"/>
      <c r="F19" s="143"/>
      <c r="I19" s="144"/>
      <c r="J19" s="143"/>
      <c r="M19" s="144"/>
      <c r="N19" s="7"/>
      <c r="O19" s="7"/>
      <c r="P19" s="7"/>
      <c r="Q19" s="7"/>
      <c r="R19" s="7"/>
      <c r="S19" s="7"/>
      <c r="T19" s="7"/>
      <c r="U19" s="7"/>
      <c r="V19" s="7"/>
      <c r="W19" s="7"/>
      <c r="X19" s="7"/>
      <c r="Y19" s="7"/>
      <c r="Z19" s="7"/>
    </row>
    <row r="20" ht="14.25" customHeight="1">
      <c r="A20" s="7"/>
      <c r="B20" s="143"/>
      <c r="E20" s="144"/>
      <c r="F20" s="143"/>
      <c r="I20" s="144"/>
      <c r="J20" s="143"/>
      <c r="M20" s="144"/>
      <c r="N20" s="7"/>
      <c r="O20" s="7"/>
      <c r="P20" s="7"/>
      <c r="Q20" s="7"/>
      <c r="R20" s="7"/>
      <c r="S20" s="7"/>
      <c r="T20" s="7"/>
      <c r="U20" s="7"/>
      <c r="V20" s="7"/>
      <c r="W20" s="7"/>
      <c r="X20" s="7"/>
      <c r="Y20" s="7"/>
      <c r="Z20" s="7"/>
    </row>
    <row r="21" ht="14.25" customHeight="1">
      <c r="A21" s="7"/>
      <c r="B21" s="143"/>
      <c r="E21" s="144"/>
      <c r="F21" s="143"/>
      <c r="I21" s="144"/>
      <c r="J21" s="143"/>
      <c r="M21" s="144"/>
      <c r="N21" s="7"/>
      <c r="O21" s="7"/>
      <c r="P21" s="7"/>
      <c r="Q21" s="7"/>
      <c r="R21" s="7"/>
      <c r="S21" s="7"/>
      <c r="T21" s="7"/>
      <c r="U21" s="7"/>
      <c r="V21" s="7"/>
      <c r="W21" s="7"/>
      <c r="X21" s="7"/>
      <c r="Y21" s="7"/>
      <c r="Z21" s="7"/>
    </row>
    <row r="22" ht="14.25" customHeight="1">
      <c r="A22" s="7"/>
      <c r="B22" s="143"/>
      <c r="E22" s="144"/>
      <c r="F22" s="143"/>
      <c r="I22" s="144"/>
      <c r="J22" s="143"/>
      <c r="M22" s="144"/>
      <c r="N22" s="7"/>
      <c r="O22" s="7"/>
      <c r="P22" s="7"/>
      <c r="Q22" s="7"/>
      <c r="R22" s="7"/>
      <c r="S22" s="7"/>
      <c r="T22" s="7"/>
      <c r="U22" s="7"/>
      <c r="V22" s="7"/>
      <c r="W22" s="7"/>
      <c r="X22" s="7"/>
      <c r="Y22" s="7"/>
      <c r="Z22" s="7"/>
    </row>
    <row r="23" ht="14.25" customHeight="1">
      <c r="A23" s="7"/>
      <c r="B23" s="143"/>
      <c r="E23" s="144"/>
      <c r="F23" s="143"/>
      <c r="I23" s="144"/>
      <c r="J23" s="143"/>
      <c r="M23" s="144"/>
      <c r="N23" s="7"/>
      <c r="O23" s="7"/>
      <c r="P23" s="7"/>
      <c r="Q23" s="7"/>
      <c r="R23" s="7"/>
      <c r="S23" s="7"/>
      <c r="T23" s="7"/>
      <c r="U23" s="7"/>
      <c r="V23" s="7"/>
      <c r="W23" s="7"/>
      <c r="X23" s="7"/>
      <c r="Y23" s="7"/>
      <c r="Z23" s="7"/>
    </row>
    <row r="24" ht="14.25" customHeight="1">
      <c r="A24" s="7"/>
      <c r="B24" s="143"/>
      <c r="E24" s="144"/>
      <c r="F24" s="143"/>
      <c r="I24" s="144"/>
      <c r="J24" s="143"/>
      <c r="M24" s="144"/>
      <c r="N24" s="7"/>
      <c r="O24" s="7"/>
      <c r="P24" s="7"/>
      <c r="Q24" s="7"/>
      <c r="R24" s="7"/>
      <c r="S24" s="7"/>
      <c r="T24" s="7"/>
      <c r="U24" s="7"/>
      <c r="V24" s="7"/>
      <c r="W24" s="7"/>
      <c r="X24" s="7"/>
      <c r="Y24" s="7"/>
      <c r="Z24" s="7"/>
    </row>
    <row r="25" ht="14.25" customHeight="1">
      <c r="A25" s="7"/>
      <c r="B25" s="143"/>
      <c r="E25" s="144"/>
      <c r="F25" s="143"/>
      <c r="I25" s="144"/>
      <c r="J25" s="143"/>
      <c r="M25" s="144"/>
      <c r="N25" s="7"/>
      <c r="O25" s="7"/>
      <c r="P25" s="7"/>
      <c r="Q25" s="7"/>
      <c r="R25" s="7"/>
      <c r="S25" s="7"/>
      <c r="T25" s="7"/>
      <c r="U25" s="7"/>
      <c r="V25" s="7"/>
      <c r="W25" s="7"/>
      <c r="X25" s="7"/>
      <c r="Y25" s="7"/>
      <c r="Z25" s="7"/>
    </row>
    <row r="26" ht="14.25" customHeight="1">
      <c r="A26" s="7"/>
      <c r="B26" s="143"/>
      <c r="E26" s="144"/>
      <c r="F26" s="143"/>
      <c r="I26" s="144"/>
      <c r="J26" s="143"/>
      <c r="M26" s="144"/>
      <c r="N26" s="7"/>
      <c r="O26" s="7"/>
      <c r="P26" s="7"/>
      <c r="Q26" s="7"/>
      <c r="R26" s="7"/>
      <c r="S26" s="7"/>
      <c r="T26" s="7"/>
      <c r="U26" s="7"/>
      <c r="V26" s="7"/>
      <c r="W26" s="7"/>
      <c r="X26" s="7"/>
      <c r="Y26" s="7"/>
      <c r="Z26" s="7"/>
    </row>
    <row r="27" ht="14.25" customHeight="1">
      <c r="A27" s="7"/>
      <c r="B27" s="143"/>
      <c r="E27" s="144"/>
      <c r="F27" s="143"/>
      <c r="I27" s="144"/>
      <c r="J27" s="143"/>
      <c r="M27" s="144"/>
      <c r="N27" s="7"/>
      <c r="O27" s="7"/>
      <c r="P27" s="7"/>
      <c r="Q27" s="7"/>
      <c r="R27" s="7"/>
      <c r="S27" s="7"/>
      <c r="T27" s="7"/>
      <c r="U27" s="7"/>
      <c r="V27" s="7"/>
      <c r="W27" s="7"/>
      <c r="X27" s="7"/>
      <c r="Y27" s="7"/>
      <c r="Z27" s="7"/>
    </row>
    <row r="28" ht="14.25" customHeight="1">
      <c r="A28" s="7"/>
      <c r="B28" s="143"/>
      <c r="E28" s="144"/>
      <c r="F28" s="143"/>
      <c r="I28" s="144"/>
      <c r="J28" s="143"/>
      <c r="M28" s="144"/>
      <c r="N28" s="7"/>
      <c r="O28" s="7"/>
      <c r="P28" s="7"/>
      <c r="Q28" s="7"/>
      <c r="R28" s="7"/>
      <c r="S28" s="7"/>
      <c r="T28" s="7"/>
      <c r="U28" s="7"/>
      <c r="V28" s="7"/>
      <c r="W28" s="7"/>
      <c r="X28" s="7"/>
      <c r="Y28" s="7"/>
      <c r="Z28" s="7"/>
    </row>
    <row r="29" ht="14.25" customHeight="1">
      <c r="A29" s="7"/>
      <c r="B29" s="143"/>
      <c r="E29" s="144"/>
      <c r="F29" s="143"/>
      <c r="I29" s="144"/>
      <c r="J29" s="143"/>
      <c r="M29" s="144"/>
      <c r="N29" s="7"/>
      <c r="O29" s="7"/>
      <c r="P29" s="7"/>
      <c r="Q29" s="7"/>
      <c r="R29" s="7"/>
      <c r="S29" s="7"/>
      <c r="T29" s="7"/>
      <c r="U29" s="7"/>
      <c r="V29" s="7"/>
      <c r="W29" s="7"/>
      <c r="X29" s="7"/>
      <c r="Y29" s="7"/>
      <c r="Z29" s="7"/>
    </row>
    <row r="30" ht="14.25" customHeight="1">
      <c r="A30" s="7"/>
      <c r="B30" s="143"/>
      <c r="E30" s="144"/>
      <c r="F30" s="143"/>
      <c r="I30" s="144"/>
      <c r="J30" s="143"/>
      <c r="M30" s="144"/>
      <c r="N30" s="7"/>
      <c r="O30" s="7"/>
      <c r="P30" s="7"/>
      <c r="Q30" s="7"/>
      <c r="R30" s="7"/>
      <c r="S30" s="7"/>
      <c r="T30" s="7"/>
      <c r="U30" s="7"/>
      <c r="V30" s="7"/>
      <c r="W30" s="7"/>
      <c r="X30" s="7"/>
      <c r="Y30" s="7"/>
      <c r="Z30" s="7"/>
    </row>
    <row r="31" ht="14.25" customHeight="1">
      <c r="A31" s="7"/>
      <c r="B31" s="143"/>
      <c r="E31" s="144"/>
      <c r="F31" s="143"/>
      <c r="I31" s="144"/>
      <c r="J31" s="143"/>
      <c r="M31" s="144"/>
      <c r="N31" s="7"/>
      <c r="O31" s="7"/>
      <c r="P31" s="7"/>
      <c r="Q31" s="7"/>
      <c r="R31" s="7"/>
      <c r="S31" s="7"/>
      <c r="T31" s="7"/>
      <c r="U31" s="7"/>
      <c r="V31" s="7"/>
      <c r="W31" s="7"/>
      <c r="X31" s="7"/>
      <c r="Y31" s="7"/>
      <c r="Z31" s="7"/>
    </row>
    <row r="32" ht="14.25" customHeight="1">
      <c r="A32" s="7"/>
      <c r="B32" s="143"/>
      <c r="E32" s="144"/>
      <c r="F32" s="143"/>
      <c r="I32" s="144"/>
      <c r="J32" s="143"/>
      <c r="M32" s="144"/>
      <c r="N32" s="7"/>
      <c r="O32" s="7"/>
      <c r="P32" s="7"/>
      <c r="Q32" s="7"/>
      <c r="R32" s="7"/>
      <c r="S32" s="7"/>
      <c r="T32" s="7"/>
      <c r="U32" s="7"/>
      <c r="V32" s="7"/>
      <c r="W32" s="7"/>
      <c r="X32" s="7"/>
      <c r="Y32" s="7"/>
      <c r="Z32" s="7"/>
    </row>
    <row r="33" ht="14.25" customHeight="1">
      <c r="A33" s="7"/>
      <c r="B33" s="143"/>
      <c r="E33" s="144"/>
      <c r="F33" s="143"/>
      <c r="I33" s="144"/>
      <c r="J33" s="143"/>
      <c r="M33" s="144"/>
      <c r="N33" s="7"/>
      <c r="O33" s="7"/>
      <c r="P33" s="7"/>
      <c r="Q33" s="7"/>
      <c r="R33" s="7"/>
      <c r="S33" s="7"/>
      <c r="T33" s="7"/>
      <c r="U33" s="7"/>
      <c r="V33" s="7"/>
      <c r="W33" s="7"/>
      <c r="X33" s="7"/>
      <c r="Y33" s="7"/>
      <c r="Z33" s="7"/>
    </row>
    <row r="34" ht="14.25" customHeight="1">
      <c r="A34" s="7"/>
      <c r="B34" s="145"/>
      <c r="C34" s="146"/>
      <c r="D34" s="146"/>
      <c r="E34" s="147"/>
      <c r="F34" s="145"/>
      <c r="G34" s="146"/>
      <c r="H34" s="146"/>
      <c r="I34" s="147"/>
      <c r="J34" s="145"/>
      <c r="K34" s="146"/>
      <c r="L34" s="146"/>
      <c r="M34" s="147"/>
      <c r="N34" s="7"/>
      <c r="O34" s="7"/>
      <c r="P34" s="7"/>
      <c r="Q34" s="7"/>
      <c r="R34" s="7"/>
      <c r="S34" s="7"/>
      <c r="T34" s="7"/>
      <c r="U34" s="7"/>
      <c r="V34" s="7"/>
      <c r="W34" s="7"/>
      <c r="X34" s="7"/>
      <c r="Y34" s="7"/>
      <c r="Z34" s="7"/>
    </row>
    <row r="35" ht="14.25" customHeight="1">
      <c r="A35" s="7"/>
      <c r="B35" s="81" t="s">
        <v>303</v>
      </c>
      <c r="C35" s="81"/>
      <c r="D35" s="81"/>
      <c r="E35" s="81"/>
      <c r="F35" s="81"/>
      <c r="G35" s="81"/>
      <c r="H35" s="81"/>
      <c r="I35" s="81"/>
      <c r="J35" s="81"/>
      <c r="K35" s="81"/>
      <c r="L35" s="81"/>
      <c r="M35" s="81"/>
      <c r="N35" s="7"/>
      <c r="O35" s="7"/>
      <c r="P35" s="7"/>
      <c r="Q35" s="7"/>
      <c r="R35" s="7"/>
      <c r="S35" s="7"/>
      <c r="T35" s="7"/>
      <c r="U35" s="7"/>
      <c r="V35" s="7"/>
      <c r="W35" s="7"/>
      <c r="X35" s="7"/>
      <c r="Y35" s="7"/>
      <c r="Z35" s="7"/>
    </row>
    <row r="36" ht="14.25" customHeight="1">
      <c r="A36" s="7"/>
      <c r="B36" s="81"/>
      <c r="C36" s="81"/>
      <c r="D36" s="81"/>
      <c r="E36" s="81"/>
      <c r="F36" s="81"/>
      <c r="G36" s="81"/>
      <c r="H36" s="81"/>
      <c r="I36" s="81"/>
      <c r="J36" s="81"/>
      <c r="K36" s="81"/>
      <c r="L36" s="81"/>
      <c r="M36" s="81"/>
      <c r="N36" s="7"/>
      <c r="O36" s="7"/>
      <c r="P36" s="7"/>
      <c r="Q36" s="7"/>
      <c r="R36" s="7"/>
      <c r="S36" s="7"/>
      <c r="T36" s="7"/>
      <c r="U36" s="7"/>
      <c r="V36" s="7"/>
      <c r="W36" s="7"/>
      <c r="X36" s="7"/>
      <c r="Y36" s="7"/>
      <c r="Z36" s="7"/>
    </row>
    <row r="37" ht="14.25" customHeight="1">
      <c r="A37" s="7"/>
      <c r="B37" s="7"/>
      <c r="C37" s="7"/>
      <c r="D37" s="7"/>
      <c r="E37" s="7"/>
      <c r="F37" s="7"/>
      <c r="G37" s="7"/>
      <c r="H37" s="7"/>
      <c r="I37" s="7"/>
      <c r="J37" s="7"/>
      <c r="K37" s="7"/>
      <c r="L37" s="7"/>
      <c r="M37" s="7"/>
      <c r="N37" s="7"/>
      <c r="O37" s="7"/>
      <c r="P37" s="7"/>
      <c r="Q37" s="7"/>
      <c r="R37" s="7"/>
      <c r="S37" s="7"/>
      <c r="T37" s="7"/>
      <c r="U37" s="7"/>
      <c r="V37" s="7"/>
      <c r="W37" s="7"/>
      <c r="X37" s="7"/>
      <c r="Y37" s="7"/>
      <c r="Z37" s="7"/>
    </row>
    <row r="38" ht="14.25" customHeight="1">
      <c r="A38" s="7"/>
      <c r="B38" s="7"/>
      <c r="C38" s="7"/>
      <c r="D38" s="7"/>
      <c r="E38" s="7"/>
      <c r="F38" s="7"/>
      <c r="G38" s="7"/>
      <c r="H38" s="7"/>
      <c r="I38" s="7"/>
      <c r="J38" s="7"/>
      <c r="K38" s="7"/>
      <c r="L38" s="7"/>
      <c r="M38" s="7"/>
      <c r="N38" s="7"/>
      <c r="O38" s="7"/>
      <c r="P38" s="7"/>
      <c r="Q38" s="7"/>
      <c r="R38" s="7"/>
      <c r="S38" s="7"/>
      <c r="T38" s="7"/>
      <c r="U38" s="7"/>
      <c r="V38" s="7"/>
      <c r="W38" s="7"/>
      <c r="X38" s="7"/>
      <c r="Y38" s="7"/>
      <c r="Z38" s="7"/>
    </row>
    <row r="39" ht="14.25" customHeight="1">
      <c r="A39" s="7"/>
      <c r="B39" s="7"/>
      <c r="C39" s="7"/>
      <c r="D39" s="7"/>
      <c r="E39" s="7"/>
      <c r="F39" s="7"/>
      <c r="G39" s="7"/>
      <c r="H39" s="7"/>
      <c r="I39" s="7"/>
      <c r="J39" s="7"/>
      <c r="K39" s="7"/>
      <c r="L39" s="7"/>
      <c r="M39" s="7"/>
      <c r="N39" s="7"/>
      <c r="O39" s="7"/>
      <c r="P39" s="7"/>
      <c r="Q39" s="7"/>
      <c r="R39" s="7"/>
      <c r="S39" s="7"/>
      <c r="T39" s="7"/>
      <c r="U39" s="7"/>
      <c r="V39" s="7"/>
      <c r="W39" s="7"/>
      <c r="X39" s="7"/>
      <c r="Y39" s="7"/>
      <c r="Z39" s="7"/>
    </row>
    <row r="40" ht="14.25" customHeight="1">
      <c r="A40" s="7"/>
      <c r="B40" s="7"/>
      <c r="C40" s="7"/>
      <c r="D40" s="7"/>
      <c r="E40" s="7"/>
      <c r="F40" s="7"/>
      <c r="G40" s="7"/>
      <c r="H40" s="7"/>
      <c r="I40" s="7"/>
      <c r="J40" s="7"/>
      <c r="K40" s="7"/>
      <c r="L40" s="7"/>
      <c r="M40" s="7"/>
      <c r="N40" s="7"/>
      <c r="O40" s="7"/>
      <c r="P40" s="7"/>
      <c r="Q40" s="7"/>
      <c r="R40" s="7"/>
      <c r="S40" s="7"/>
      <c r="T40" s="7"/>
      <c r="U40" s="7"/>
      <c r="V40" s="7"/>
      <c r="W40" s="7"/>
      <c r="X40" s="7"/>
      <c r="Y40" s="7"/>
      <c r="Z40" s="7"/>
    </row>
    <row r="41" ht="14.25" customHeight="1">
      <c r="A41" s="7"/>
      <c r="B41" s="7"/>
      <c r="C41" s="7"/>
      <c r="D41" s="7"/>
      <c r="E41" s="7"/>
      <c r="F41" s="7"/>
      <c r="G41" s="7"/>
      <c r="H41" s="7"/>
      <c r="I41" s="7"/>
      <c r="J41" s="7"/>
      <c r="K41" s="7"/>
      <c r="L41" s="7"/>
      <c r="M41" s="7"/>
      <c r="N41" s="7"/>
      <c r="O41" s="7"/>
      <c r="P41" s="7"/>
      <c r="Q41" s="7"/>
      <c r="R41" s="7"/>
      <c r="S41" s="7"/>
      <c r="T41" s="7"/>
      <c r="U41" s="7"/>
      <c r="V41" s="7"/>
      <c r="W41" s="7"/>
      <c r="X41" s="7"/>
      <c r="Y41" s="7"/>
      <c r="Z41" s="7"/>
    </row>
    <row r="42" ht="14.25" customHeight="1">
      <c r="A42" s="7"/>
      <c r="B42" s="7"/>
      <c r="C42" s="7"/>
      <c r="D42" s="7"/>
      <c r="E42" s="7"/>
      <c r="F42" s="7"/>
      <c r="G42" s="7"/>
      <c r="H42" s="7"/>
      <c r="I42" s="7"/>
      <c r="J42" s="7"/>
      <c r="K42" s="7"/>
      <c r="L42" s="7"/>
      <c r="M42" s="7"/>
      <c r="N42" s="7"/>
      <c r="O42" s="7"/>
      <c r="P42" s="7"/>
      <c r="Q42" s="7"/>
      <c r="R42" s="7"/>
      <c r="S42" s="7"/>
      <c r="T42" s="7"/>
      <c r="U42" s="7"/>
      <c r="V42" s="7"/>
      <c r="W42" s="7"/>
      <c r="X42" s="7"/>
      <c r="Y42" s="7"/>
      <c r="Z42" s="7"/>
    </row>
    <row r="43" ht="14.25" customHeight="1">
      <c r="A43" s="7"/>
      <c r="B43" s="7"/>
      <c r="C43" s="7"/>
      <c r="D43" s="7"/>
      <c r="E43" s="7"/>
      <c r="F43" s="7"/>
      <c r="G43" s="7"/>
      <c r="H43" s="7"/>
      <c r="I43" s="7"/>
      <c r="J43" s="7"/>
      <c r="K43" s="7"/>
      <c r="L43" s="7"/>
      <c r="M43" s="7"/>
      <c r="N43" s="7"/>
      <c r="O43" s="7"/>
      <c r="P43" s="7"/>
      <c r="Q43" s="7"/>
      <c r="R43" s="7"/>
      <c r="S43" s="7"/>
      <c r="T43" s="7"/>
      <c r="U43" s="7"/>
      <c r="V43" s="7"/>
      <c r="W43" s="7"/>
      <c r="X43" s="7"/>
      <c r="Y43" s="7"/>
      <c r="Z43" s="7"/>
    </row>
    <row r="44" ht="14.25" customHeight="1">
      <c r="A44" s="7"/>
      <c r="B44" s="7"/>
      <c r="C44" s="7"/>
      <c r="D44" s="7"/>
      <c r="E44" s="7"/>
      <c r="F44" s="7"/>
      <c r="G44" s="7"/>
      <c r="H44" s="7"/>
      <c r="I44" s="7"/>
      <c r="J44" s="7"/>
      <c r="K44" s="7"/>
      <c r="L44" s="7"/>
      <c r="M44" s="7"/>
      <c r="N44" s="7"/>
      <c r="O44" s="7"/>
      <c r="P44" s="7"/>
      <c r="Q44" s="7"/>
      <c r="R44" s="7"/>
      <c r="S44" s="7"/>
      <c r="T44" s="7"/>
      <c r="U44" s="7"/>
      <c r="V44" s="7"/>
      <c r="W44" s="7"/>
      <c r="X44" s="7"/>
      <c r="Y44" s="7"/>
      <c r="Z44" s="7"/>
    </row>
    <row r="45" ht="14.25" customHeight="1">
      <c r="A45" s="7"/>
      <c r="B45" s="7"/>
      <c r="C45" s="7"/>
      <c r="D45" s="7"/>
      <c r="E45" s="7"/>
      <c r="F45" s="7"/>
      <c r="G45" s="7"/>
      <c r="H45" s="7"/>
      <c r="I45" s="7"/>
      <c r="J45" s="7"/>
      <c r="K45" s="7"/>
      <c r="L45" s="7"/>
      <c r="M45" s="7"/>
      <c r="N45" s="7"/>
      <c r="O45" s="7"/>
      <c r="P45" s="7"/>
      <c r="Q45" s="7"/>
      <c r="R45" s="7"/>
      <c r="S45" s="7"/>
      <c r="T45" s="7"/>
      <c r="U45" s="7"/>
      <c r="V45" s="7"/>
      <c r="W45" s="7"/>
      <c r="X45" s="7"/>
      <c r="Y45" s="7"/>
      <c r="Z45" s="7"/>
    </row>
    <row r="46" ht="14.25" customHeight="1">
      <c r="A46" s="7"/>
      <c r="B46" s="7"/>
      <c r="C46" s="7"/>
      <c r="D46" s="7"/>
      <c r="E46" s="7"/>
      <c r="F46" s="7"/>
      <c r="G46" s="7"/>
      <c r="H46" s="7"/>
      <c r="I46" s="7"/>
      <c r="J46" s="7"/>
      <c r="K46" s="7"/>
      <c r="L46" s="7"/>
      <c r="M46" s="7"/>
      <c r="N46" s="7"/>
      <c r="O46" s="7"/>
      <c r="P46" s="7"/>
      <c r="Q46" s="7"/>
      <c r="R46" s="7"/>
      <c r="S46" s="7"/>
      <c r="T46" s="7"/>
      <c r="U46" s="7"/>
      <c r="V46" s="7"/>
      <c r="W46" s="7"/>
      <c r="X46" s="7"/>
      <c r="Y46" s="7"/>
      <c r="Z46" s="7"/>
    </row>
    <row r="47" ht="14.25" customHeight="1">
      <c r="A47" s="7"/>
      <c r="B47" s="7"/>
      <c r="C47" s="7"/>
      <c r="D47" s="7"/>
      <c r="E47" s="7"/>
      <c r="F47" s="7"/>
      <c r="G47" s="7"/>
      <c r="H47" s="7"/>
      <c r="I47" s="7"/>
      <c r="J47" s="7"/>
      <c r="K47" s="7"/>
      <c r="L47" s="7"/>
      <c r="M47" s="7"/>
      <c r="N47" s="7"/>
      <c r="O47" s="7"/>
      <c r="P47" s="7"/>
      <c r="Q47" s="7"/>
      <c r="R47" s="7"/>
      <c r="S47" s="7"/>
      <c r="T47" s="7"/>
      <c r="U47" s="7"/>
      <c r="V47" s="7"/>
      <c r="W47" s="7"/>
      <c r="X47" s="7"/>
      <c r="Y47" s="7"/>
      <c r="Z47" s="7"/>
    </row>
    <row r="48" ht="14.25" customHeight="1">
      <c r="A48" s="7"/>
      <c r="B48" s="7"/>
      <c r="C48" s="7"/>
      <c r="D48" s="7"/>
      <c r="E48" s="7"/>
      <c r="F48" s="7"/>
      <c r="G48" s="7"/>
      <c r="H48" s="7"/>
      <c r="I48" s="7"/>
      <c r="J48" s="7"/>
      <c r="K48" s="7"/>
      <c r="L48" s="7"/>
      <c r="M48" s="7"/>
      <c r="N48" s="7"/>
      <c r="O48" s="7"/>
      <c r="P48" s="7"/>
      <c r="Q48" s="7"/>
      <c r="R48" s="7"/>
      <c r="S48" s="7"/>
      <c r="T48" s="7"/>
      <c r="U48" s="7"/>
      <c r="V48" s="7"/>
      <c r="W48" s="7"/>
      <c r="X48" s="7"/>
      <c r="Y48" s="7"/>
      <c r="Z48" s="7"/>
    </row>
    <row r="49" ht="14.25" customHeight="1">
      <c r="A49" s="7"/>
      <c r="B49" s="7"/>
      <c r="C49" s="7"/>
      <c r="D49" s="7"/>
      <c r="E49" s="7"/>
      <c r="F49" s="7"/>
      <c r="G49" s="7"/>
      <c r="H49" s="7"/>
      <c r="I49" s="7"/>
      <c r="J49" s="7"/>
      <c r="K49" s="7"/>
      <c r="L49" s="7"/>
      <c r="M49" s="7"/>
      <c r="N49" s="7"/>
      <c r="O49" s="7"/>
      <c r="P49" s="7"/>
      <c r="Q49" s="7"/>
      <c r="R49" s="7"/>
      <c r="S49" s="7"/>
      <c r="T49" s="7"/>
      <c r="U49" s="7"/>
      <c r="V49" s="7"/>
      <c r="W49" s="7"/>
      <c r="X49" s="7"/>
      <c r="Y49" s="7"/>
      <c r="Z49" s="7"/>
    </row>
    <row r="50" ht="14.25" customHeight="1">
      <c r="A50" s="7"/>
      <c r="B50" s="7"/>
      <c r="C50" s="7"/>
      <c r="D50" s="7"/>
      <c r="E50" s="7"/>
      <c r="F50" s="7"/>
      <c r="G50" s="7"/>
      <c r="H50" s="7"/>
      <c r="I50" s="7"/>
      <c r="J50" s="7"/>
      <c r="K50" s="7"/>
      <c r="L50" s="7"/>
      <c r="M50" s="7"/>
      <c r="N50" s="7"/>
      <c r="O50" s="7"/>
      <c r="P50" s="7"/>
      <c r="Q50" s="7"/>
      <c r="R50" s="7"/>
      <c r="S50" s="7"/>
      <c r="T50" s="7"/>
      <c r="U50" s="7"/>
      <c r="V50" s="7"/>
      <c r="W50" s="7"/>
      <c r="X50" s="7"/>
      <c r="Y50" s="7"/>
      <c r="Z50" s="7"/>
    </row>
    <row r="51" ht="14.25" customHeight="1">
      <c r="A51" s="7"/>
      <c r="B51" s="7"/>
      <c r="C51" s="7"/>
      <c r="D51" s="7"/>
      <c r="E51" s="7"/>
      <c r="F51" s="7"/>
      <c r="G51" s="7"/>
      <c r="H51" s="7"/>
      <c r="I51" s="7"/>
      <c r="J51" s="7"/>
      <c r="K51" s="7"/>
      <c r="L51" s="7"/>
      <c r="M51" s="7"/>
      <c r="N51" s="7"/>
      <c r="O51" s="7"/>
      <c r="P51" s="7"/>
      <c r="Q51" s="7"/>
      <c r="R51" s="7"/>
      <c r="S51" s="7"/>
      <c r="T51" s="7"/>
      <c r="U51" s="7"/>
      <c r="V51" s="7"/>
      <c r="W51" s="7"/>
      <c r="X51" s="7"/>
      <c r="Y51" s="7"/>
      <c r="Z51" s="7"/>
    </row>
    <row r="52" ht="14.25" customHeight="1">
      <c r="A52" s="7"/>
      <c r="B52" s="7"/>
      <c r="C52" s="7"/>
      <c r="D52" s="7"/>
      <c r="E52" s="7"/>
      <c r="F52" s="7"/>
      <c r="G52" s="7"/>
      <c r="H52" s="7"/>
      <c r="I52" s="7"/>
      <c r="J52" s="7"/>
      <c r="K52" s="7"/>
      <c r="L52" s="7"/>
      <c r="M52" s="7"/>
      <c r="N52" s="7"/>
      <c r="O52" s="7"/>
      <c r="P52" s="7"/>
      <c r="Q52" s="7"/>
      <c r="R52" s="7"/>
      <c r="S52" s="7"/>
      <c r="T52" s="7"/>
      <c r="U52" s="7"/>
      <c r="V52" s="7"/>
      <c r="W52" s="7"/>
      <c r="X52" s="7"/>
      <c r="Y52" s="7"/>
      <c r="Z52" s="7"/>
    </row>
    <row r="53" ht="14.25" customHeight="1">
      <c r="A53" s="7"/>
      <c r="B53" s="7"/>
      <c r="C53" s="7"/>
      <c r="D53" s="7"/>
      <c r="E53" s="7"/>
      <c r="F53" s="7"/>
      <c r="G53" s="7"/>
      <c r="H53" s="7"/>
      <c r="I53" s="7"/>
      <c r="J53" s="7"/>
      <c r="K53" s="7"/>
      <c r="L53" s="7"/>
      <c r="M53" s="7"/>
      <c r="N53" s="7"/>
      <c r="O53" s="7"/>
      <c r="P53" s="7"/>
      <c r="Q53" s="7"/>
      <c r="R53" s="7"/>
      <c r="S53" s="7"/>
      <c r="T53" s="7"/>
      <c r="U53" s="7"/>
      <c r="V53" s="7"/>
      <c r="W53" s="7"/>
      <c r="X53" s="7"/>
      <c r="Y53" s="7"/>
      <c r="Z53" s="7"/>
    </row>
    <row r="54" ht="14.25" customHeight="1">
      <c r="A54" s="7"/>
      <c r="B54" s="7"/>
      <c r="C54" s="7"/>
      <c r="D54" s="7"/>
      <c r="E54" s="7"/>
      <c r="F54" s="7"/>
      <c r="G54" s="7"/>
      <c r="H54" s="7"/>
      <c r="I54" s="7"/>
      <c r="J54" s="7"/>
      <c r="K54" s="7"/>
      <c r="L54" s="7"/>
      <c r="M54" s="7"/>
      <c r="N54" s="7"/>
      <c r="O54" s="7"/>
      <c r="P54" s="7"/>
      <c r="Q54" s="7"/>
      <c r="R54" s="7"/>
      <c r="S54" s="7"/>
      <c r="T54" s="7"/>
      <c r="U54" s="7"/>
      <c r="V54" s="7"/>
      <c r="W54" s="7"/>
      <c r="X54" s="7"/>
      <c r="Y54" s="7"/>
      <c r="Z54" s="7"/>
    </row>
    <row r="55" ht="14.25" customHeight="1">
      <c r="A55" s="7"/>
      <c r="B55" s="7"/>
      <c r="C55" s="7"/>
      <c r="D55" s="7"/>
      <c r="E55" s="7"/>
      <c r="F55" s="7"/>
      <c r="G55" s="7"/>
      <c r="H55" s="7"/>
      <c r="I55" s="7"/>
      <c r="J55" s="7"/>
      <c r="K55" s="7"/>
      <c r="L55" s="7"/>
      <c r="M55" s="7"/>
      <c r="N55" s="7"/>
      <c r="O55" s="7"/>
      <c r="P55" s="7"/>
      <c r="Q55" s="7"/>
      <c r="R55" s="7"/>
      <c r="S55" s="7"/>
      <c r="T55" s="7"/>
      <c r="U55" s="7"/>
      <c r="V55" s="7"/>
      <c r="W55" s="7"/>
      <c r="X55" s="7"/>
      <c r="Y55" s="7"/>
      <c r="Z55" s="7"/>
    </row>
    <row r="56" ht="14.25" customHeight="1">
      <c r="A56" s="7"/>
      <c r="B56" s="7"/>
      <c r="C56" s="7"/>
      <c r="D56" s="7"/>
      <c r="E56" s="7"/>
      <c r="F56" s="7"/>
      <c r="G56" s="7"/>
      <c r="H56" s="7"/>
      <c r="I56" s="7"/>
      <c r="J56" s="7"/>
      <c r="K56" s="7"/>
      <c r="L56" s="7"/>
      <c r="M56" s="7"/>
      <c r="N56" s="7"/>
      <c r="O56" s="7"/>
      <c r="P56" s="7"/>
      <c r="Q56" s="7"/>
      <c r="R56" s="7"/>
      <c r="S56" s="7"/>
      <c r="T56" s="7"/>
      <c r="U56" s="7"/>
      <c r="V56" s="7"/>
      <c r="W56" s="7"/>
      <c r="X56" s="7"/>
      <c r="Y56" s="7"/>
      <c r="Z56" s="7"/>
    </row>
    <row r="57" ht="14.25" customHeight="1">
      <c r="A57" s="7"/>
      <c r="B57" s="7"/>
      <c r="C57" s="7"/>
      <c r="D57" s="7"/>
      <c r="E57" s="7"/>
      <c r="F57" s="7"/>
      <c r="G57" s="7"/>
      <c r="H57" s="7"/>
      <c r="I57" s="7"/>
      <c r="J57" s="7"/>
      <c r="K57" s="7"/>
      <c r="L57" s="7"/>
      <c r="M57" s="7"/>
      <c r="N57" s="7"/>
      <c r="O57" s="7"/>
      <c r="P57" s="7"/>
      <c r="Q57" s="7"/>
      <c r="R57" s="7"/>
      <c r="S57" s="7"/>
      <c r="T57" s="7"/>
      <c r="U57" s="7"/>
      <c r="V57" s="7"/>
      <c r="W57" s="7"/>
      <c r="X57" s="7"/>
      <c r="Y57" s="7"/>
      <c r="Z57" s="7"/>
    </row>
    <row r="58" ht="14.25" customHeight="1">
      <c r="A58" s="7"/>
      <c r="B58" s="7"/>
      <c r="C58" s="7"/>
      <c r="D58" s="7"/>
      <c r="E58" s="7"/>
      <c r="F58" s="7"/>
      <c r="G58" s="7"/>
      <c r="H58" s="7"/>
      <c r="I58" s="7"/>
      <c r="J58" s="7"/>
      <c r="K58" s="7"/>
      <c r="L58" s="7"/>
      <c r="M58" s="7"/>
      <c r="N58" s="7"/>
      <c r="O58" s="7"/>
      <c r="P58" s="7"/>
      <c r="Q58" s="7"/>
      <c r="R58" s="7"/>
      <c r="S58" s="7"/>
      <c r="T58" s="7"/>
      <c r="U58" s="7"/>
      <c r="V58" s="7"/>
      <c r="W58" s="7"/>
      <c r="X58" s="7"/>
      <c r="Y58" s="7"/>
      <c r="Z58" s="7"/>
    </row>
    <row r="59" ht="14.25" customHeight="1">
      <c r="A59" s="7"/>
      <c r="B59" s="7"/>
      <c r="C59" s="7"/>
      <c r="D59" s="7"/>
      <c r="E59" s="7"/>
      <c r="F59" s="7"/>
      <c r="G59" s="7"/>
      <c r="H59" s="7"/>
      <c r="I59" s="7"/>
      <c r="J59" s="7"/>
      <c r="K59" s="7"/>
      <c r="L59" s="7"/>
      <c r="M59" s="7"/>
      <c r="N59" s="7"/>
      <c r="O59" s="7"/>
      <c r="P59" s="7"/>
      <c r="Q59" s="7"/>
      <c r="R59" s="7"/>
      <c r="S59" s="7"/>
      <c r="T59" s="7"/>
      <c r="U59" s="7"/>
      <c r="V59" s="7"/>
      <c r="W59" s="7"/>
      <c r="X59" s="7"/>
      <c r="Y59" s="7"/>
      <c r="Z59" s="7"/>
    </row>
    <row r="60" ht="14.25" customHeight="1">
      <c r="A60" s="7"/>
      <c r="B60" s="7"/>
      <c r="C60" s="7"/>
      <c r="D60" s="7"/>
      <c r="E60" s="7"/>
      <c r="F60" s="7"/>
      <c r="G60" s="7"/>
      <c r="H60" s="7"/>
      <c r="I60" s="7"/>
      <c r="J60" s="7"/>
      <c r="K60" s="7"/>
      <c r="L60" s="7"/>
      <c r="M60" s="7"/>
      <c r="N60" s="7"/>
      <c r="O60" s="7"/>
      <c r="P60" s="7"/>
      <c r="Q60" s="7"/>
      <c r="R60" s="7"/>
      <c r="S60" s="7"/>
      <c r="T60" s="7"/>
      <c r="U60" s="7"/>
      <c r="V60" s="7"/>
      <c r="W60" s="7"/>
      <c r="X60" s="7"/>
      <c r="Y60" s="7"/>
      <c r="Z60" s="7"/>
    </row>
    <row r="61" ht="14.25" customHeight="1">
      <c r="A61" s="7"/>
      <c r="B61" s="7"/>
      <c r="C61" s="7"/>
      <c r="D61" s="7"/>
      <c r="E61" s="7"/>
      <c r="F61" s="7"/>
      <c r="G61" s="7"/>
      <c r="H61" s="7"/>
      <c r="I61" s="7"/>
      <c r="J61" s="7"/>
      <c r="K61" s="7"/>
      <c r="L61" s="7"/>
      <c r="M61" s="7"/>
      <c r="N61" s="7"/>
      <c r="O61" s="7"/>
      <c r="P61" s="7"/>
      <c r="Q61" s="7"/>
      <c r="R61" s="7"/>
      <c r="S61" s="7"/>
      <c r="T61" s="7"/>
      <c r="U61" s="7"/>
      <c r="V61" s="7"/>
      <c r="W61" s="7"/>
      <c r="X61" s="7"/>
      <c r="Y61" s="7"/>
      <c r="Z61" s="7"/>
    </row>
    <row r="62" ht="14.25" customHeight="1">
      <c r="A62" s="7"/>
      <c r="B62" s="7"/>
      <c r="C62" s="7"/>
      <c r="D62" s="7"/>
      <c r="E62" s="7"/>
      <c r="F62" s="7"/>
      <c r="G62" s="7"/>
      <c r="H62" s="7"/>
      <c r="I62" s="7"/>
      <c r="J62" s="7"/>
      <c r="K62" s="7"/>
      <c r="L62" s="7"/>
      <c r="M62" s="7"/>
      <c r="N62" s="7"/>
      <c r="O62" s="7"/>
      <c r="P62" s="7"/>
      <c r="Q62" s="7"/>
      <c r="R62" s="7"/>
      <c r="S62" s="7"/>
      <c r="T62" s="7"/>
      <c r="U62" s="7"/>
      <c r="V62" s="7"/>
      <c r="W62" s="7"/>
      <c r="X62" s="7"/>
      <c r="Y62" s="7"/>
      <c r="Z62" s="7"/>
    </row>
    <row r="63" ht="14.25" customHeight="1">
      <c r="A63" s="7"/>
      <c r="B63" s="7"/>
      <c r="C63" s="7"/>
      <c r="D63" s="7"/>
      <c r="E63" s="7"/>
      <c r="F63" s="7"/>
      <c r="G63" s="7"/>
      <c r="H63" s="7"/>
      <c r="I63" s="7"/>
      <c r="J63" s="7"/>
      <c r="K63" s="7"/>
      <c r="L63" s="7"/>
      <c r="M63" s="7"/>
      <c r="N63" s="7"/>
      <c r="O63" s="7"/>
      <c r="P63" s="7"/>
      <c r="Q63" s="7"/>
      <c r="R63" s="7"/>
      <c r="S63" s="7"/>
      <c r="T63" s="7"/>
      <c r="U63" s="7"/>
      <c r="V63" s="7"/>
      <c r="W63" s="7"/>
      <c r="X63" s="7"/>
      <c r="Y63" s="7"/>
      <c r="Z63" s="7"/>
    </row>
    <row r="64" ht="14.25" customHeight="1">
      <c r="A64" s="7"/>
      <c r="B64" s="7"/>
      <c r="C64" s="7"/>
      <c r="D64" s="7"/>
      <c r="E64" s="7"/>
      <c r="F64" s="7"/>
      <c r="G64" s="7"/>
      <c r="H64" s="7"/>
      <c r="I64" s="7"/>
      <c r="J64" s="7"/>
      <c r="K64" s="7"/>
      <c r="L64" s="7"/>
      <c r="M64" s="7"/>
      <c r="N64" s="7"/>
      <c r="O64" s="7"/>
      <c r="P64" s="7"/>
      <c r="Q64" s="7"/>
      <c r="R64" s="7"/>
      <c r="S64" s="7"/>
      <c r="T64" s="7"/>
      <c r="U64" s="7"/>
      <c r="V64" s="7"/>
      <c r="W64" s="7"/>
      <c r="X64" s="7"/>
      <c r="Y64" s="7"/>
      <c r="Z64" s="7"/>
    </row>
    <row r="65" ht="14.25" customHeight="1">
      <c r="A65" s="7"/>
      <c r="B65" s="7"/>
      <c r="C65" s="7"/>
      <c r="D65" s="7"/>
      <c r="E65" s="7"/>
      <c r="F65" s="7"/>
      <c r="G65" s="7"/>
      <c r="H65" s="7"/>
      <c r="I65" s="7"/>
      <c r="J65" s="7"/>
      <c r="K65" s="7"/>
      <c r="L65" s="7"/>
      <c r="M65" s="7"/>
      <c r="N65" s="7"/>
      <c r="O65" s="7"/>
      <c r="P65" s="7"/>
      <c r="Q65" s="7"/>
      <c r="R65" s="7"/>
      <c r="S65" s="7"/>
      <c r="T65" s="7"/>
      <c r="U65" s="7"/>
      <c r="V65" s="7"/>
      <c r="W65" s="7"/>
      <c r="X65" s="7"/>
      <c r="Y65" s="7"/>
      <c r="Z65" s="7"/>
    </row>
    <row r="66" ht="14.25" customHeight="1">
      <c r="A66" s="7"/>
      <c r="B66" s="7"/>
      <c r="C66" s="7"/>
      <c r="D66" s="7"/>
      <c r="E66" s="7"/>
      <c r="F66" s="7"/>
      <c r="G66" s="7"/>
      <c r="H66" s="7"/>
      <c r="I66" s="7"/>
      <c r="J66" s="7"/>
      <c r="K66" s="7"/>
      <c r="L66" s="7"/>
      <c r="M66" s="7"/>
      <c r="N66" s="7"/>
      <c r="O66" s="7"/>
      <c r="P66" s="7"/>
      <c r="Q66" s="7"/>
      <c r="R66" s="7"/>
      <c r="S66" s="7"/>
      <c r="T66" s="7"/>
      <c r="U66" s="7"/>
      <c r="V66" s="7"/>
      <c r="W66" s="7"/>
      <c r="X66" s="7"/>
      <c r="Y66" s="7"/>
      <c r="Z66" s="7"/>
    </row>
    <row r="67" ht="14.25" customHeight="1">
      <c r="A67" s="7"/>
      <c r="B67" s="7"/>
      <c r="C67" s="7"/>
      <c r="D67" s="7"/>
      <c r="E67" s="7"/>
      <c r="F67" s="7"/>
      <c r="G67" s="7"/>
      <c r="H67" s="7"/>
      <c r="I67" s="7"/>
      <c r="J67" s="7"/>
      <c r="K67" s="7"/>
      <c r="L67" s="7"/>
      <c r="M67" s="7"/>
      <c r="N67" s="7"/>
      <c r="O67" s="7"/>
      <c r="P67" s="7"/>
      <c r="Q67" s="7"/>
      <c r="R67" s="7"/>
      <c r="S67" s="7"/>
      <c r="T67" s="7"/>
      <c r="U67" s="7"/>
      <c r="V67" s="7"/>
      <c r="W67" s="7"/>
      <c r="X67" s="7"/>
      <c r="Y67" s="7"/>
      <c r="Z67" s="7"/>
    </row>
    <row r="68" ht="14.25" customHeight="1">
      <c r="A68" s="7"/>
      <c r="B68" s="7"/>
      <c r="C68" s="7"/>
      <c r="D68" s="7"/>
      <c r="E68" s="7"/>
      <c r="F68" s="7"/>
      <c r="G68" s="7"/>
      <c r="H68" s="7"/>
      <c r="I68" s="7"/>
      <c r="J68" s="7"/>
      <c r="K68" s="7"/>
      <c r="L68" s="7"/>
      <c r="M68" s="7"/>
      <c r="N68" s="7"/>
      <c r="O68" s="7"/>
      <c r="P68" s="7"/>
      <c r="Q68" s="7"/>
      <c r="R68" s="7"/>
      <c r="S68" s="7"/>
      <c r="T68" s="7"/>
      <c r="U68" s="7"/>
      <c r="V68" s="7"/>
      <c r="W68" s="7"/>
      <c r="X68" s="7"/>
      <c r="Y68" s="7"/>
      <c r="Z68" s="7"/>
    </row>
    <row r="69" ht="14.25" customHeight="1">
      <c r="A69" s="7"/>
      <c r="B69" s="7"/>
      <c r="C69" s="7"/>
      <c r="D69" s="7"/>
      <c r="E69" s="7"/>
      <c r="F69" s="7"/>
      <c r="G69" s="7"/>
      <c r="H69" s="7"/>
      <c r="I69" s="7"/>
      <c r="J69" s="7"/>
      <c r="K69" s="7"/>
      <c r="L69" s="7"/>
      <c r="M69" s="7"/>
      <c r="N69" s="7"/>
      <c r="O69" s="7"/>
      <c r="P69" s="7"/>
      <c r="Q69" s="7"/>
      <c r="R69" s="7"/>
      <c r="S69" s="7"/>
      <c r="T69" s="7"/>
      <c r="U69" s="7"/>
      <c r="V69" s="7"/>
      <c r="W69" s="7"/>
      <c r="X69" s="7"/>
      <c r="Y69" s="7"/>
      <c r="Z69" s="7"/>
    </row>
    <row r="70" ht="14.25" customHeight="1">
      <c r="A70" s="7"/>
      <c r="B70" s="7"/>
      <c r="C70" s="7"/>
      <c r="D70" s="7"/>
      <c r="E70" s="7"/>
      <c r="F70" s="7"/>
      <c r="G70" s="7"/>
      <c r="H70" s="7"/>
      <c r="I70" s="7"/>
      <c r="J70" s="7"/>
      <c r="K70" s="7"/>
      <c r="L70" s="7"/>
      <c r="M70" s="7"/>
      <c r="N70" s="7"/>
      <c r="O70" s="7"/>
      <c r="P70" s="7"/>
      <c r="Q70" s="7"/>
      <c r="R70" s="7"/>
      <c r="S70" s="7"/>
      <c r="T70" s="7"/>
      <c r="U70" s="7"/>
      <c r="V70" s="7"/>
      <c r="W70" s="7"/>
      <c r="X70" s="7"/>
      <c r="Y70" s="7"/>
      <c r="Z70" s="7"/>
    </row>
    <row r="71" ht="14.25" customHeight="1">
      <c r="A71" s="7"/>
      <c r="B71" s="7"/>
      <c r="C71" s="7"/>
      <c r="D71" s="7"/>
      <c r="E71" s="7"/>
      <c r="F71" s="7"/>
      <c r="G71" s="7"/>
      <c r="H71" s="7"/>
      <c r="I71" s="7"/>
      <c r="J71" s="7"/>
      <c r="K71" s="7"/>
      <c r="L71" s="7"/>
      <c r="M71" s="7"/>
      <c r="N71" s="7"/>
      <c r="O71" s="7"/>
      <c r="P71" s="7"/>
      <c r="Q71" s="7"/>
      <c r="R71" s="7"/>
      <c r="S71" s="7"/>
      <c r="T71" s="7"/>
      <c r="U71" s="7"/>
      <c r="V71" s="7"/>
      <c r="W71" s="7"/>
      <c r="X71" s="7"/>
      <c r="Y71" s="7"/>
      <c r="Z71" s="7"/>
    </row>
    <row r="72" ht="14.25" customHeight="1">
      <c r="A72" s="7"/>
      <c r="B72" s="7"/>
      <c r="C72" s="7"/>
      <c r="D72" s="7"/>
      <c r="E72" s="7"/>
      <c r="F72" s="7"/>
      <c r="G72" s="7"/>
      <c r="H72" s="7"/>
      <c r="I72" s="7"/>
      <c r="J72" s="7"/>
      <c r="K72" s="7"/>
      <c r="L72" s="7"/>
      <c r="M72" s="7"/>
      <c r="N72" s="7"/>
      <c r="O72" s="7"/>
      <c r="P72" s="7"/>
      <c r="Q72" s="7"/>
      <c r="R72" s="7"/>
      <c r="S72" s="7"/>
      <c r="T72" s="7"/>
      <c r="U72" s="7"/>
      <c r="V72" s="7"/>
      <c r="W72" s="7"/>
      <c r="X72" s="7"/>
      <c r="Y72" s="7"/>
      <c r="Z72" s="7"/>
    </row>
    <row r="73" ht="14.25" customHeight="1">
      <c r="A73" s="7"/>
      <c r="B73" s="7"/>
      <c r="C73" s="7"/>
      <c r="D73" s="7"/>
      <c r="E73" s="7"/>
      <c r="F73" s="7"/>
      <c r="G73" s="7"/>
      <c r="H73" s="7"/>
      <c r="I73" s="7"/>
      <c r="J73" s="7"/>
      <c r="K73" s="7"/>
      <c r="L73" s="7"/>
      <c r="M73" s="7"/>
      <c r="N73" s="7"/>
      <c r="O73" s="7"/>
      <c r="P73" s="7"/>
      <c r="Q73" s="7"/>
      <c r="R73" s="7"/>
      <c r="S73" s="7"/>
      <c r="T73" s="7"/>
      <c r="U73" s="7"/>
      <c r="V73" s="7"/>
      <c r="W73" s="7"/>
      <c r="X73" s="7"/>
      <c r="Y73" s="7"/>
      <c r="Z73" s="7"/>
    </row>
    <row r="74" ht="14.25" customHeight="1">
      <c r="A74" s="7"/>
      <c r="B74" s="7"/>
      <c r="C74" s="7"/>
      <c r="D74" s="7"/>
      <c r="E74" s="7"/>
      <c r="F74" s="7"/>
      <c r="G74" s="7"/>
      <c r="H74" s="7"/>
      <c r="I74" s="7"/>
      <c r="J74" s="7"/>
      <c r="K74" s="7"/>
      <c r="L74" s="7"/>
      <c r="M74" s="7"/>
      <c r="N74" s="7"/>
      <c r="O74" s="7"/>
      <c r="P74" s="7"/>
      <c r="Q74" s="7"/>
      <c r="R74" s="7"/>
      <c r="S74" s="7"/>
      <c r="T74" s="7"/>
      <c r="U74" s="7"/>
      <c r="V74" s="7"/>
      <c r="W74" s="7"/>
      <c r="X74" s="7"/>
      <c r="Y74" s="7"/>
      <c r="Z74" s="7"/>
    </row>
    <row r="75" ht="14.2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7"/>
      <c r="B76" s="7"/>
      <c r="C76" s="7"/>
      <c r="D76" s="7"/>
      <c r="E76" s="7"/>
      <c r="F76" s="7"/>
      <c r="G76" s="7"/>
      <c r="H76" s="7"/>
      <c r="I76" s="7"/>
      <c r="J76" s="7"/>
      <c r="K76" s="7"/>
      <c r="L76" s="7"/>
      <c r="M76" s="7"/>
      <c r="N76" s="7"/>
      <c r="O76" s="7"/>
      <c r="P76" s="7"/>
      <c r="Q76" s="7"/>
      <c r="R76" s="7"/>
      <c r="S76" s="7"/>
      <c r="T76" s="7"/>
      <c r="U76" s="7"/>
      <c r="V76" s="7"/>
      <c r="W76" s="7"/>
      <c r="X76" s="7"/>
      <c r="Y76" s="7"/>
      <c r="Z76" s="7"/>
    </row>
    <row r="77" ht="14.25" customHeight="1">
      <c r="A77" s="7"/>
      <c r="B77" s="7"/>
      <c r="C77" s="7"/>
      <c r="D77" s="7"/>
      <c r="E77" s="7"/>
      <c r="F77" s="7"/>
      <c r="G77" s="7"/>
      <c r="H77" s="7"/>
      <c r="I77" s="7"/>
      <c r="J77" s="7"/>
      <c r="K77" s="7"/>
      <c r="L77" s="7"/>
      <c r="M77" s="7"/>
      <c r="N77" s="7"/>
      <c r="O77" s="7"/>
      <c r="P77" s="7"/>
      <c r="Q77" s="7"/>
      <c r="R77" s="7"/>
      <c r="S77" s="7"/>
      <c r="T77" s="7"/>
      <c r="U77" s="7"/>
      <c r="V77" s="7"/>
      <c r="W77" s="7"/>
      <c r="X77" s="7"/>
      <c r="Y77" s="7"/>
      <c r="Z77" s="7"/>
    </row>
    <row r="78" ht="14.25" customHeight="1">
      <c r="A78" s="7"/>
      <c r="B78" s="7"/>
      <c r="C78" s="7"/>
      <c r="D78" s="7"/>
      <c r="E78" s="7"/>
      <c r="F78" s="7"/>
      <c r="G78" s="7"/>
      <c r="H78" s="7"/>
      <c r="I78" s="7"/>
      <c r="J78" s="7"/>
      <c r="K78" s="7"/>
      <c r="L78" s="7"/>
      <c r="M78" s="7"/>
      <c r="N78" s="7"/>
      <c r="O78" s="7"/>
      <c r="P78" s="7"/>
      <c r="Q78" s="7"/>
      <c r="R78" s="7"/>
      <c r="S78" s="7"/>
      <c r="T78" s="7"/>
      <c r="U78" s="7"/>
      <c r="V78" s="7"/>
      <c r="W78" s="7"/>
      <c r="X78" s="7"/>
      <c r="Y78" s="7"/>
      <c r="Z78" s="7"/>
    </row>
    <row r="79" ht="14.25" customHeight="1">
      <c r="A79" s="7"/>
      <c r="B79" s="7"/>
      <c r="C79" s="7"/>
      <c r="D79" s="7"/>
      <c r="E79" s="7"/>
      <c r="F79" s="7"/>
      <c r="G79" s="7"/>
      <c r="H79" s="7"/>
      <c r="I79" s="7"/>
      <c r="J79" s="7"/>
      <c r="K79" s="7"/>
      <c r="L79" s="7"/>
      <c r="M79" s="7"/>
      <c r="N79" s="7"/>
      <c r="O79" s="7"/>
      <c r="P79" s="7"/>
      <c r="Q79" s="7"/>
      <c r="R79" s="7"/>
      <c r="S79" s="7"/>
      <c r="T79" s="7"/>
      <c r="U79" s="7"/>
      <c r="V79" s="7"/>
      <c r="W79" s="7"/>
      <c r="X79" s="7"/>
      <c r="Y79" s="7"/>
      <c r="Z79" s="7"/>
    </row>
    <row r="80" ht="14.25" customHeight="1">
      <c r="A80" s="7"/>
      <c r="B80" s="7"/>
      <c r="C80" s="7"/>
      <c r="D80" s="7"/>
      <c r="E80" s="7"/>
      <c r="F80" s="7"/>
      <c r="G80" s="7"/>
      <c r="H80" s="7"/>
      <c r="I80" s="7"/>
      <c r="J80" s="7"/>
      <c r="K80" s="7"/>
      <c r="L80" s="7"/>
      <c r="M80" s="7"/>
      <c r="N80" s="7"/>
      <c r="O80" s="7"/>
      <c r="P80" s="7"/>
      <c r="Q80" s="7"/>
      <c r="R80" s="7"/>
      <c r="S80" s="7"/>
      <c r="T80" s="7"/>
      <c r="U80" s="7"/>
      <c r="V80" s="7"/>
      <c r="W80" s="7"/>
      <c r="X80" s="7"/>
      <c r="Y80" s="7"/>
      <c r="Z80" s="7"/>
    </row>
    <row r="81" ht="14.25" customHeight="1">
      <c r="A81" s="7"/>
      <c r="B81" s="7"/>
      <c r="C81" s="7"/>
      <c r="D81" s="7"/>
      <c r="E81" s="7"/>
      <c r="F81" s="7"/>
      <c r="G81" s="7"/>
      <c r="H81" s="7"/>
      <c r="I81" s="7"/>
      <c r="J81" s="7"/>
      <c r="K81" s="7"/>
      <c r="L81" s="7"/>
      <c r="M81" s="7"/>
      <c r="N81" s="7"/>
      <c r="O81" s="7"/>
      <c r="P81" s="7"/>
      <c r="Q81" s="7"/>
      <c r="R81" s="7"/>
      <c r="S81" s="7"/>
      <c r="T81" s="7"/>
      <c r="U81" s="7"/>
      <c r="V81" s="7"/>
      <c r="W81" s="7"/>
      <c r="X81" s="7"/>
      <c r="Y81" s="7"/>
      <c r="Z81" s="7"/>
    </row>
    <row r="82" ht="14.25" customHeight="1">
      <c r="A82" s="7"/>
      <c r="B82" s="7"/>
      <c r="C82" s="7"/>
      <c r="D82" s="7"/>
      <c r="E82" s="7"/>
      <c r="F82" s="7"/>
      <c r="G82" s="7"/>
      <c r="H82" s="7"/>
      <c r="I82" s="7"/>
      <c r="J82" s="7"/>
      <c r="K82" s="7"/>
      <c r="L82" s="7"/>
      <c r="M82" s="7"/>
      <c r="N82" s="7"/>
      <c r="O82" s="7"/>
      <c r="P82" s="7"/>
      <c r="Q82" s="7"/>
      <c r="R82" s="7"/>
      <c r="S82" s="7"/>
      <c r="T82" s="7"/>
      <c r="U82" s="7"/>
      <c r="V82" s="7"/>
      <c r="W82" s="7"/>
      <c r="X82" s="7"/>
      <c r="Y82" s="7"/>
      <c r="Z82" s="7"/>
    </row>
    <row r="83" ht="14.25" customHeight="1">
      <c r="A83" s="7"/>
      <c r="B83" s="7"/>
      <c r="C83" s="7"/>
      <c r="D83" s="7"/>
      <c r="E83" s="7"/>
      <c r="F83" s="7"/>
      <c r="G83" s="7"/>
      <c r="H83" s="7"/>
      <c r="I83" s="7"/>
      <c r="J83" s="7"/>
      <c r="K83" s="7"/>
      <c r="L83" s="7"/>
      <c r="M83" s="7"/>
      <c r="N83" s="7"/>
      <c r="O83" s="7"/>
      <c r="P83" s="7"/>
      <c r="Q83" s="7"/>
      <c r="R83" s="7"/>
      <c r="S83" s="7"/>
      <c r="T83" s="7"/>
      <c r="U83" s="7"/>
      <c r="V83" s="7"/>
      <c r="W83" s="7"/>
      <c r="X83" s="7"/>
      <c r="Y83" s="7"/>
      <c r="Z83" s="7"/>
    </row>
    <row r="84" ht="14.25" customHeight="1">
      <c r="A84" s="7"/>
      <c r="B84" s="7"/>
      <c r="C84" s="7"/>
      <c r="D84" s="7"/>
      <c r="E84" s="7"/>
      <c r="F84" s="7"/>
      <c r="G84" s="7"/>
      <c r="H84" s="7"/>
      <c r="I84" s="7"/>
      <c r="J84" s="7"/>
      <c r="K84" s="7"/>
      <c r="L84" s="7"/>
      <c r="M84" s="7"/>
      <c r="N84" s="7"/>
      <c r="O84" s="7"/>
      <c r="P84" s="7"/>
      <c r="Q84" s="7"/>
      <c r="R84" s="7"/>
      <c r="S84" s="7"/>
      <c r="T84" s="7"/>
      <c r="U84" s="7"/>
      <c r="V84" s="7"/>
      <c r="W84" s="7"/>
      <c r="X84" s="7"/>
      <c r="Y84" s="7"/>
      <c r="Z84" s="7"/>
    </row>
    <row r="85" ht="14.2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4.2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4.2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4.2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4.2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4.2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4.2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4.2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4.2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4.2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4.2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4.2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4.2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4.2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4.2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4.2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4.2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4.2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4.2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4.2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4.2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4.2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4.2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4.2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11">
    <mergeCell ref="B11:E11"/>
    <mergeCell ref="B12:E34"/>
    <mergeCell ref="F12:I34"/>
    <mergeCell ref="J12:M34"/>
    <mergeCell ref="H1:M3"/>
    <mergeCell ref="B6:D6"/>
    <mergeCell ref="E6:M6"/>
    <mergeCell ref="B7:D9"/>
    <mergeCell ref="E7:M9"/>
    <mergeCell ref="F11:I11"/>
    <mergeCell ref="J11:M11"/>
  </mergeCells>
  <conditionalFormatting sqref="B7">
    <cfRule type="cellIs" dxfId="0" priority="1" operator="greaterThan">
      <formula>3.5</formula>
    </cfRule>
  </conditionalFormatting>
  <conditionalFormatting sqref="B7">
    <cfRule type="cellIs" dxfId="4" priority="2" operator="between">
      <formula>2.4</formula>
      <formula>3.4</formula>
    </cfRule>
  </conditionalFormatting>
  <conditionalFormatting sqref="B7">
    <cfRule type="cellIs" dxfId="5" priority="3" operator="between">
      <formula>1.5</formula>
      <formula>2.3</formula>
    </cfRule>
  </conditionalFormatting>
  <conditionalFormatting sqref="B7">
    <cfRule type="cellIs" dxfId="6" priority="4" operator="lessThanOrEqual">
      <formula>1.4</formula>
    </cfRule>
  </conditionalFormatting>
  <conditionalFormatting sqref="D7:D9">
    <cfRule type="expression" dxfId="8" priority="5">
      <formula>$B$7</formula>
    </cfRule>
  </conditionalFormatting>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pageSetUpPr/>
  </sheetPr>
  <sheetViews>
    <sheetView workbookViewId="0"/>
  </sheetViews>
  <sheetFormatPr customHeight="1" defaultColWidth="14.43" defaultRowHeight="15.0"/>
  <cols>
    <col customWidth="1" min="1" max="1" width="17.29"/>
    <col customWidth="1" min="2" max="2" width="55.29"/>
    <col customWidth="1" min="3" max="3" width="32.29"/>
    <col customWidth="1" min="4" max="4" width="13.29"/>
    <col customWidth="1" min="5" max="5" width="27.57"/>
    <col customWidth="1" min="6" max="7" width="8.71"/>
    <col customWidth="1" min="8" max="8" width="195.29"/>
    <col customWidth="1" min="9" max="9" width="27.71"/>
    <col customWidth="1" min="10" max="26" width="8.71"/>
  </cols>
  <sheetData>
    <row r="1" ht="14.25" customHeight="1">
      <c r="A1" s="107" t="s">
        <v>304</v>
      </c>
      <c r="K1" s="7"/>
      <c r="L1" s="7"/>
      <c r="M1" s="7"/>
      <c r="N1" s="7"/>
      <c r="O1" s="7"/>
      <c r="P1" s="7"/>
      <c r="Q1" s="7"/>
      <c r="R1" s="7"/>
      <c r="S1" s="7"/>
      <c r="T1" s="7"/>
      <c r="U1" s="7"/>
      <c r="V1" s="7"/>
      <c r="W1" s="7"/>
      <c r="X1" s="7"/>
      <c r="Y1" s="7"/>
      <c r="Z1" s="7"/>
    </row>
    <row r="2" ht="14.25" customHeight="1">
      <c r="A2" s="107"/>
      <c r="B2" s="107"/>
      <c r="C2" s="107"/>
      <c r="D2" s="107"/>
      <c r="E2" s="107"/>
      <c r="F2" s="107"/>
      <c r="G2" s="107"/>
      <c r="H2" s="107"/>
      <c r="I2" s="107"/>
      <c r="J2" s="107"/>
      <c r="K2" s="7"/>
      <c r="L2" s="7"/>
      <c r="M2" s="7"/>
      <c r="N2" s="7"/>
      <c r="O2" s="7"/>
      <c r="P2" s="7"/>
      <c r="Q2" s="7"/>
      <c r="R2" s="7"/>
      <c r="S2" s="7"/>
      <c r="T2" s="7"/>
      <c r="U2" s="7"/>
      <c r="V2" s="7"/>
      <c r="W2" s="7"/>
      <c r="X2" s="7"/>
      <c r="Y2" s="7"/>
      <c r="Z2" s="7"/>
    </row>
    <row r="3" ht="14.25" customHeight="1">
      <c r="A3" s="7"/>
      <c r="B3" s="7"/>
      <c r="C3" s="7"/>
      <c r="D3" s="7"/>
      <c r="E3" s="7"/>
      <c r="F3" s="7"/>
      <c r="G3" s="7"/>
      <c r="H3" s="7"/>
      <c r="I3" s="7" t="s">
        <v>165</v>
      </c>
      <c r="J3" s="7"/>
      <c r="K3" s="7"/>
      <c r="L3" s="7"/>
      <c r="M3" s="7"/>
      <c r="N3" s="7"/>
      <c r="O3" s="7"/>
      <c r="P3" s="7"/>
      <c r="Q3" s="7"/>
      <c r="R3" s="7"/>
      <c r="S3" s="7"/>
      <c r="T3" s="7"/>
      <c r="U3" s="7"/>
      <c r="V3" s="7"/>
      <c r="W3" s="7"/>
      <c r="X3" s="7"/>
      <c r="Y3" s="7"/>
      <c r="Z3" s="7"/>
    </row>
    <row r="4" ht="14.25" customHeight="1">
      <c r="A4" s="56" t="s">
        <v>305</v>
      </c>
      <c r="B4" s="116" t="s">
        <v>306</v>
      </c>
      <c r="C4" s="7" t="s">
        <v>307</v>
      </c>
      <c r="D4" s="7" t="s">
        <v>162</v>
      </c>
      <c r="E4" s="7" t="s">
        <v>163</v>
      </c>
      <c r="F4" s="7" t="s">
        <v>308</v>
      </c>
      <c r="G4" s="131">
        <v>1.0</v>
      </c>
      <c r="H4" s="7"/>
      <c r="I4" s="55"/>
      <c r="J4" s="7"/>
      <c r="K4" s="7"/>
      <c r="L4" s="7"/>
      <c r="M4" s="7"/>
      <c r="N4" s="7"/>
      <c r="O4" s="7"/>
      <c r="P4" s="7"/>
      <c r="Q4" s="7"/>
      <c r="R4" s="7"/>
      <c r="S4" s="7"/>
      <c r="T4" s="7"/>
      <c r="U4" s="7"/>
      <c r="V4" s="7"/>
      <c r="W4" s="7"/>
      <c r="X4" s="7"/>
      <c r="Y4" s="7"/>
      <c r="Z4" s="7"/>
    </row>
    <row r="5" ht="14.25" customHeight="1">
      <c r="C5" s="7" t="s">
        <v>309</v>
      </c>
      <c r="D5" s="7" t="s">
        <v>181</v>
      </c>
      <c r="E5" s="7" t="s">
        <v>257</v>
      </c>
      <c r="F5" s="7" t="s">
        <v>310</v>
      </c>
      <c r="G5" s="132">
        <v>2.0</v>
      </c>
      <c r="H5" s="7" t="s">
        <v>311</v>
      </c>
      <c r="I5" s="55" t="str">
        <f>IFERROR(VLOOKUP('Answer Sheet'!O14,F5:G7,2,FALSE),"0")</f>
        <v>0</v>
      </c>
      <c r="J5" s="7"/>
      <c r="K5" s="7"/>
      <c r="L5" s="7"/>
      <c r="M5" s="7"/>
      <c r="N5" s="7"/>
      <c r="O5" s="7"/>
      <c r="P5" s="7"/>
      <c r="Q5" s="7"/>
      <c r="R5" s="7"/>
      <c r="S5" s="7"/>
      <c r="T5" s="7"/>
      <c r="U5" s="7"/>
      <c r="V5" s="7"/>
      <c r="W5" s="7"/>
      <c r="X5" s="7"/>
      <c r="Y5" s="7"/>
      <c r="Z5" s="7"/>
    </row>
    <row r="6" ht="14.25" customHeight="1">
      <c r="A6" s="7"/>
      <c r="B6" s="7"/>
      <c r="C6" s="7" t="s">
        <v>312</v>
      </c>
      <c r="D6" s="7" t="s">
        <v>197</v>
      </c>
      <c r="E6" s="7" t="s">
        <v>313</v>
      </c>
      <c r="F6" s="7" t="s">
        <v>314</v>
      </c>
      <c r="G6" s="163">
        <v>3.0</v>
      </c>
      <c r="H6" s="7" t="s">
        <v>315</v>
      </c>
      <c r="I6" s="55" t="str">
        <f>IFERROR(VLOOKUP('Answer Sheet'!P14,F5:G7,2,FALSE),"0")</f>
        <v>0</v>
      </c>
      <c r="J6" s="7"/>
      <c r="K6" s="7"/>
      <c r="L6" s="7"/>
      <c r="M6" s="7"/>
      <c r="N6" s="7"/>
      <c r="O6" s="7"/>
      <c r="P6" s="7"/>
      <c r="Q6" s="7"/>
      <c r="R6" s="7"/>
      <c r="S6" s="7"/>
      <c r="T6" s="7"/>
      <c r="U6" s="7"/>
      <c r="V6" s="7"/>
      <c r="W6" s="7"/>
      <c r="X6" s="7"/>
      <c r="Y6" s="7"/>
      <c r="Z6" s="7"/>
    </row>
    <row r="7" ht="14.25" customHeight="1">
      <c r="A7" s="7"/>
      <c r="B7" s="7"/>
      <c r="C7" s="7" t="s">
        <v>316</v>
      </c>
      <c r="D7" s="7" t="s">
        <v>197</v>
      </c>
      <c r="E7" s="7" t="s">
        <v>313</v>
      </c>
      <c r="F7" s="7" t="s">
        <v>317</v>
      </c>
      <c r="G7" s="163">
        <v>3.0</v>
      </c>
      <c r="H7" s="7" t="s">
        <v>318</v>
      </c>
      <c r="I7" s="55" t="str">
        <f>IFERROR(VLOOKUP('Answer Sheet'!Q14,F5:G7,2,FALSE),"0")</f>
        <v>0</v>
      </c>
      <c r="J7" s="7"/>
      <c r="K7" s="7"/>
      <c r="L7" s="7"/>
      <c r="M7" s="7"/>
      <c r="N7" s="7"/>
      <c r="O7" s="7"/>
      <c r="P7" s="7"/>
      <c r="Q7" s="7"/>
      <c r="R7" s="7"/>
      <c r="S7" s="7"/>
      <c r="T7" s="7"/>
      <c r="U7" s="7"/>
      <c r="V7" s="7"/>
      <c r="W7" s="7"/>
      <c r="X7" s="7"/>
      <c r="Y7" s="7"/>
      <c r="Z7" s="7"/>
    </row>
    <row r="8" ht="14.25" customHeight="1">
      <c r="A8" s="80"/>
      <c r="B8" s="80"/>
      <c r="C8" s="7"/>
      <c r="D8" s="7"/>
      <c r="E8" s="7"/>
      <c r="F8" s="7"/>
      <c r="G8" s="111"/>
      <c r="H8" s="7"/>
      <c r="I8" s="7"/>
      <c r="J8" s="7"/>
      <c r="K8" s="7"/>
      <c r="L8" s="7"/>
      <c r="M8" s="7"/>
      <c r="N8" s="7"/>
      <c r="O8" s="7"/>
      <c r="P8" s="7"/>
      <c r="Q8" s="7"/>
      <c r="R8" s="7"/>
      <c r="S8" s="7"/>
      <c r="T8" s="7"/>
      <c r="U8" s="7"/>
      <c r="V8" s="7"/>
      <c r="W8" s="7"/>
      <c r="X8" s="7"/>
      <c r="Y8" s="7"/>
      <c r="Z8" s="7"/>
    </row>
    <row r="9" ht="14.25" customHeight="1">
      <c r="A9" s="109" t="s">
        <v>319</v>
      </c>
      <c r="B9" s="116" t="s">
        <v>320</v>
      </c>
      <c r="C9" s="7" t="s">
        <v>264</v>
      </c>
      <c r="D9" s="7" t="s">
        <v>162</v>
      </c>
      <c r="E9" s="7" t="s">
        <v>163</v>
      </c>
      <c r="F9" s="7" t="s">
        <v>321</v>
      </c>
      <c r="G9" s="131">
        <v>1.0</v>
      </c>
      <c r="H9" s="7"/>
      <c r="I9" s="55" t="str">
        <f>IFERROR(VLOOKUP('Answer Sheet'!O15,F9:G11,2,FALSE),"0")</f>
        <v>0</v>
      </c>
      <c r="J9" s="7"/>
      <c r="K9" s="7"/>
      <c r="L9" s="7"/>
      <c r="M9" s="7"/>
      <c r="N9" s="7"/>
      <c r="O9" s="7"/>
      <c r="P9" s="7"/>
      <c r="Q9" s="7"/>
      <c r="R9" s="7"/>
      <c r="S9" s="7"/>
      <c r="T9" s="7"/>
      <c r="U9" s="7"/>
      <c r="V9" s="7"/>
      <c r="W9" s="7"/>
      <c r="X9" s="7"/>
      <c r="Y9" s="7"/>
      <c r="Z9" s="7"/>
    </row>
    <row r="10" ht="14.25" customHeight="1">
      <c r="C10" s="7" t="s">
        <v>161</v>
      </c>
      <c r="D10" s="7" t="s">
        <v>185</v>
      </c>
      <c r="E10" s="7" t="s">
        <v>257</v>
      </c>
      <c r="F10" s="7" t="s">
        <v>322</v>
      </c>
      <c r="G10" s="132">
        <v>2.0</v>
      </c>
      <c r="H10" s="7" t="s">
        <v>323</v>
      </c>
      <c r="I10" s="55"/>
      <c r="J10" s="7"/>
      <c r="K10" s="7"/>
      <c r="L10" s="7"/>
      <c r="M10" s="7"/>
      <c r="N10" s="7"/>
      <c r="O10" s="7"/>
      <c r="P10" s="7"/>
      <c r="Q10" s="7"/>
      <c r="R10" s="7"/>
      <c r="S10" s="7"/>
      <c r="T10" s="7"/>
      <c r="U10" s="7"/>
      <c r="V10" s="7"/>
      <c r="W10" s="7"/>
      <c r="X10" s="7"/>
      <c r="Y10" s="7"/>
      <c r="Z10" s="7"/>
    </row>
    <row r="11" ht="14.25" customHeight="1">
      <c r="C11" s="7" t="s">
        <v>267</v>
      </c>
      <c r="D11" s="7" t="s">
        <v>172</v>
      </c>
      <c r="E11" s="7" t="s">
        <v>324</v>
      </c>
      <c r="F11" s="7" t="s">
        <v>325</v>
      </c>
      <c r="G11" s="133">
        <v>4.0</v>
      </c>
      <c r="H11" s="7" t="s">
        <v>326</v>
      </c>
      <c r="I11" s="55"/>
      <c r="J11" s="7"/>
      <c r="K11" s="7"/>
      <c r="L11" s="7"/>
      <c r="M11" s="7"/>
      <c r="N11" s="7"/>
      <c r="O11" s="7"/>
      <c r="P11" s="7"/>
      <c r="Q11" s="7"/>
      <c r="R11" s="7"/>
      <c r="S11" s="7"/>
      <c r="T11" s="7"/>
      <c r="U11" s="7"/>
      <c r="V11" s="7"/>
      <c r="W11" s="7"/>
      <c r="X11" s="7"/>
      <c r="Y11" s="7"/>
      <c r="Z11" s="7"/>
    </row>
    <row r="12" ht="14.25" customHeight="1">
      <c r="A12" s="80"/>
      <c r="B12" s="80"/>
      <c r="C12" s="7"/>
      <c r="D12" s="7"/>
      <c r="E12" s="7"/>
      <c r="F12" s="7"/>
      <c r="G12" s="111"/>
      <c r="H12" s="7"/>
      <c r="I12" s="55"/>
      <c r="J12" s="7"/>
      <c r="K12" s="7"/>
      <c r="L12" s="7"/>
      <c r="M12" s="7"/>
      <c r="N12" s="7"/>
      <c r="O12" s="7"/>
      <c r="P12" s="7"/>
      <c r="Q12" s="7"/>
      <c r="R12" s="7"/>
      <c r="S12" s="7"/>
      <c r="T12" s="7"/>
      <c r="U12" s="7"/>
      <c r="V12" s="7"/>
      <c r="W12" s="7"/>
      <c r="X12" s="7"/>
      <c r="Y12" s="7"/>
      <c r="Z12" s="7"/>
    </row>
    <row r="13" ht="14.25" customHeight="1">
      <c r="A13" s="109" t="s">
        <v>327</v>
      </c>
      <c r="B13" s="116" t="s">
        <v>328</v>
      </c>
      <c r="C13" s="7" t="s">
        <v>329</v>
      </c>
      <c r="D13" s="7" t="s">
        <v>197</v>
      </c>
      <c r="E13" s="7" t="s">
        <v>189</v>
      </c>
      <c r="F13" s="7" t="s">
        <v>330</v>
      </c>
      <c r="G13" s="133">
        <v>4.0</v>
      </c>
      <c r="H13" s="7" t="s">
        <v>331</v>
      </c>
      <c r="I13" s="55" t="str">
        <f>IFERROR(VLOOKUP('Answer Sheet'!O16,F13:G16,2,FALSE),"0")</f>
        <v>0</v>
      </c>
      <c r="J13" s="7"/>
      <c r="K13" s="7"/>
      <c r="L13" s="7"/>
      <c r="M13" s="7"/>
      <c r="N13" s="7"/>
      <c r="O13" s="7"/>
      <c r="P13" s="7"/>
      <c r="Q13" s="7"/>
      <c r="R13" s="7"/>
      <c r="S13" s="7"/>
      <c r="T13" s="7"/>
      <c r="U13" s="7"/>
      <c r="V13" s="7"/>
      <c r="W13" s="7"/>
      <c r="X13" s="7"/>
      <c r="Y13" s="7"/>
      <c r="Z13" s="7"/>
    </row>
    <row r="14" ht="14.25" customHeight="1">
      <c r="C14" s="7" t="s">
        <v>332</v>
      </c>
      <c r="D14" s="7" t="s">
        <v>197</v>
      </c>
      <c r="E14" s="7" t="s">
        <v>257</v>
      </c>
      <c r="F14" s="7" t="s">
        <v>333</v>
      </c>
      <c r="G14" s="132">
        <v>2.0</v>
      </c>
      <c r="H14" s="7" t="s">
        <v>334</v>
      </c>
      <c r="I14" s="55" t="str">
        <f>IFERROR(VLOOKUP('Answer Sheet'!P16,F13:G16,2,FALSE),"0")</f>
        <v>0</v>
      </c>
      <c r="J14" s="7"/>
      <c r="K14" s="7"/>
      <c r="L14" s="7"/>
      <c r="M14" s="7"/>
      <c r="N14" s="7"/>
      <c r="O14" s="7"/>
      <c r="P14" s="7"/>
      <c r="Q14" s="7"/>
      <c r="R14" s="7"/>
      <c r="S14" s="7"/>
      <c r="T14" s="7"/>
      <c r="U14" s="7"/>
      <c r="V14" s="7"/>
      <c r="W14" s="7"/>
      <c r="X14" s="7"/>
      <c r="Y14" s="7"/>
      <c r="Z14" s="7"/>
    </row>
    <row r="15" ht="14.25" customHeight="1">
      <c r="C15" s="7" t="s">
        <v>335</v>
      </c>
      <c r="D15" s="7" t="s">
        <v>197</v>
      </c>
      <c r="E15" s="7" t="s">
        <v>257</v>
      </c>
      <c r="F15" s="7" t="s">
        <v>336</v>
      </c>
      <c r="G15" s="163">
        <v>3.0</v>
      </c>
      <c r="H15" s="7" t="s">
        <v>337</v>
      </c>
      <c r="I15" s="55" t="str">
        <f>IFERROR(VLOOKUP('Answer Sheet'!Q16,F13:G16,2,FALSE),"0")</f>
        <v>0</v>
      </c>
      <c r="J15" s="7"/>
      <c r="K15" s="7"/>
      <c r="L15" s="7"/>
      <c r="M15" s="7"/>
      <c r="N15" s="7"/>
      <c r="O15" s="7"/>
      <c r="P15" s="7"/>
      <c r="Q15" s="7"/>
      <c r="R15" s="7"/>
      <c r="S15" s="7"/>
      <c r="T15" s="7"/>
      <c r="U15" s="7"/>
      <c r="V15" s="7"/>
      <c r="W15" s="7"/>
      <c r="X15" s="7"/>
      <c r="Y15" s="7"/>
      <c r="Z15" s="7"/>
    </row>
    <row r="16" ht="14.25" customHeight="1">
      <c r="C16" s="7" t="s">
        <v>338</v>
      </c>
      <c r="D16" s="7" t="s">
        <v>339</v>
      </c>
      <c r="E16" s="7" t="s">
        <v>163</v>
      </c>
      <c r="F16" s="7" t="s">
        <v>340</v>
      </c>
      <c r="G16" s="131">
        <v>1.0</v>
      </c>
      <c r="H16" s="7"/>
      <c r="I16" s="55" t="str">
        <f>IFERROR(VLOOKUP('Answer Sheet'!R16,F13:G16,2,FALSE),"0")</f>
        <v>0</v>
      </c>
      <c r="J16" s="7"/>
      <c r="K16" s="7"/>
      <c r="L16" s="7"/>
      <c r="M16" s="7"/>
      <c r="N16" s="7"/>
      <c r="O16" s="7"/>
      <c r="P16" s="7"/>
      <c r="Q16" s="7"/>
      <c r="R16" s="7"/>
      <c r="S16" s="7"/>
      <c r="T16" s="7"/>
      <c r="U16" s="7"/>
      <c r="V16" s="7"/>
      <c r="W16" s="7"/>
      <c r="X16" s="7"/>
      <c r="Y16" s="7"/>
      <c r="Z16" s="7"/>
    </row>
    <row r="17" ht="14.25" customHeight="1">
      <c r="A17" s="7"/>
      <c r="B17" s="7"/>
      <c r="C17" s="7"/>
      <c r="D17" s="7"/>
      <c r="E17" s="7"/>
      <c r="F17" s="7"/>
      <c r="G17" s="7"/>
      <c r="H17" s="7"/>
      <c r="I17" s="55"/>
      <c r="J17" s="7"/>
      <c r="K17" s="7"/>
      <c r="L17" s="7"/>
      <c r="M17" s="7"/>
      <c r="N17" s="7"/>
      <c r="O17" s="7"/>
      <c r="P17" s="7"/>
      <c r="Q17" s="7"/>
      <c r="R17" s="7"/>
      <c r="S17" s="7"/>
      <c r="T17" s="7"/>
      <c r="U17" s="7"/>
      <c r="V17" s="7"/>
      <c r="W17" s="7"/>
      <c r="X17" s="7"/>
      <c r="Y17" s="7"/>
      <c r="Z17" s="7"/>
    </row>
    <row r="18" ht="14.25" customHeight="1">
      <c r="A18" s="109" t="s">
        <v>341</v>
      </c>
      <c r="B18" s="116" t="s">
        <v>342</v>
      </c>
      <c r="C18" s="7" t="s">
        <v>343</v>
      </c>
      <c r="D18" s="7" t="s">
        <v>185</v>
      </c>
      <c r="E18" s="7" t="s">
        <v>257</v>
      </c>
      <c r="F18" s="7" t="s">
        <v>344</v>
      </c>
      <c r="G18" s="132">
        <v>2.0</v>
      </c>
      <c r="H18" s="7" t="s">
        <v>345</v>
      </c>
      <c r="I18" s="55" t="str">
        <f>IFERROR(VLOOKUP('Answer Sheet'!O17,F18:G20,2,FALSE),"0")</f>
        <v>0</v>
      </c>
      <c r="J18" s="7"/>
      <c r="K18" s="7"/>
      <c r="L18" s="7"/>
      <c r="M18" s="7"/>
      <c r="N18" s="7"/>
      <c r="O18" s="7"/>
      <c r="P18" s="7"/>
      <c r="Q18" s="7"/>
      <c r="R18" s="7"/>
      <c r="S18" s="7"/>
      <c r="T18" s="7"/>
      <c r="U18" s="7"/>
      <c r="V18" s="7"/>
      <c r="W18" s="7"/>
      <c r="X18" s="7"/>
      <c r="Y18" s="7"/>
      <c r="Z18" s="7"/>
    </row>
    <row r="19" ht="14.25" customHeight="1">
      <c r="C19" s="7" t="s">
        <v>346</v>
      </c>
      <c r="D19" s="7" t="s">
        <v>172</v>
      </c>
      <c r="E19" s="7" t="s">
        <v>216</v>
      </c>
      <c r="F19" s="7" t="s">
        <v>347</v>
      </c>
      <c r="G19" s="133">
        <v>4.0</v>
      </c>
      <c r="H19" s="7" t="s">
        <v>348</v>
      </c>
      <c r="I19" s="55"/>
      <c r="J19" s="7"/>
      <c r="K19" s="7"/>
      <c r="L19" s="7"/>
      <c r="M19" s="7"/>
      <c r="N19" s="7"/>
      <c r="O19" s="7"/>
      <c r="P19" s="7"/>
      <c r="Q19" s="7"/>
      <c r="R19" s="7"/>
      <c r="S19" s="7"/>
      <c r="T19" s="7"/>
      <c r="U19" s="7"/>
      <c r="V19" s="7"/>
      <c r="W19" s="7"/>
      <c r="X19" s="7"/>
      <c r="Y19" s="7"/>
      <c r="Z19" s="7"/>
    </row>
    <row r="20" ht="14.25" customHeight="1">
      <c r="C20" s="7" t="s">
        <v>349</v>
      </c>
      <c r="D20" s="7" t="s">
        <v>339</v>
      </c>
      <c r="E20" s="7" t="s">
        <v>163</v>
      </c>
      <c r="F20" s="7" t="s">
        <v>350</v>
      </c>
      <c r="G20" s="131">
        <v>1.0</v>
      </c>
      <c r="H20" s="7"/>
      <c r="I20" s="55"/>
      <c r="J20" s="7"/>
      <c r="K20" s="7"/>
      <c r="L20" s="7"/>
      <c r="M20" s="7"/>
      <c r="N20" s="7"/>
      <c r="O20" s="7"/>
      <c r="P20" s="7"/>
      <c r="Q20" s="7"/>
      <c r="R20" s="7"/>
      <c r="S20" s="7"/>
      <c r="T20" s="7"/>
      <c r="U20" s="7"/>
      <c r="V20" s="7"/>
      <c r="W20" s="7"/>
      <c r="X20" s="7"/>
      <c r="Y20" s="7"/>
      <c r="Z20" s="7"/>
    </row>
    <row r="21" ht="14.25" customHeight="1">
      <c r="A21" s="7"/>
      <c r="B21" s="7"/>
      <c r="C21" s="7"/>
      <c r="D21" s="7"/>
      <c r="E21" s="7"/>
      <c r="F21" s="7"/>
      <c r="G21" s="7"/>
      <c r="H21" s="7"/>
      <c r="I21" s="55"/>
      <c r="J21" s="7"/>
      <c r="K21" s="7"/>
      <c r="L21" s="7"/>
      <c r="M21" s="7"/>
      <c r="N21" s="7"/>
      <c r="O21" s="7"/>
      <c r="P21" s="7"/>
      <c r="Q21" s="7"/>
      <c r="R21" s="7"/>
      <c r="S21" s="7"/>
      <c r="T21" s="7"/>
      <c r="U21" s="7"/>
      <c r="V21" s="7"/>
      <c r="W21" s="7"/>
      <c r="X21" s="7"/>
      <c r="Y21" s="7"/>
      <c r="Z21" s="7"/>
    </row>
    <row r="22" ht="14.25" customHeight="1">
      <c r="A22" s="109" t="s">
        <v>351</v>
      </c>
      <c r="B22" s="109" t="s">
        <v>352</v>
      </c>
      <c r="C22" s="7" t="s">
        <v>264</v>
      </c>
      <c r="D22" s="7" t="s">
        <v>339</v>
      </c>
      <c r="E22" s="7" t="s">
        <v>163</v>
      </c>
      <c r="F22" s="7" t="s">
        <v>353</v>
      </c>
      <c r="G22" s="131">
        <v>1.0</v>
      </c>
      <c r="H22" s="7"/>
      <c r="I22" s="55" t="str">
        <f>IF(I18=2,VLOOKUP('Answer Sheet'!O18,F22:G25,2,FALSE),"0")</f>
        <v>0</v>
      </c>
      <c r="J22" s="7"/>
      <c r="K22" s="7"/>
      <c r="L22" s="7"/>
      <c r="M22" s="7"/>
      <c r="N22" s="7"/>
      <c r="O22" s="7"/>
      <c r="P22" s="7"/>
      <c r="Q22" s="7"/>
      <c r="R22" s="7"/>
      <c r="S22" s="7"/>
      <c r="T22" s="7"/>
      <c r="U22" s="7"/>
      <c r="V22" s="7"/>
      <c r="W22" s="7"/>
      <c r="X22" s="7"/>
      <c r="Y22" s="7"/>
      <c r="Z22" s="7"/>
    </row>
    <row r="23" ht="14.25" customHeight="1">
      <c r="C23" s="7" t="s">
        <v>354</v>
      </c>
      <c r="D23" s="7" t="s">
        <v>181</v>
      </c>
      <c r="E23" s="7" t="s">
        <v>182</v>
      </c>
      <c r="F23" s="7" t="s">
        <v>355</v>
      </c>
      <c r="G23" s="131">
        <v>1.0</v>
      </c>
      <c r="H23" s="7" t="str">
        <f>IF(I18=2,"","")&amp;IF(I18=4,"Hazard - Supporting a weight up to 5lbs while frequently outstretched. Consider changing the workstation/job design.","")</f>
        <v/>
      </c>
      <c r="I23" s="55"/>
      <c r="J23" s="7"/>
      <c r="K23" s="7"/>
      <c r="L23" s="7"/>
      <c r="M23" s="7"/>
      <c r="N23" s="7"/>
      <c r="O23" s="7"/>
      <c r="P23" s="7"/>
      <c r="Q23" s="7"/>
      <c r="R23" s="7"/>
      <c r="S23" s="7"/>
      <c r="T23" s="7"/>
      <c r="U23" s="7"/>
      <c r="V23" s="7"/>
      <c r="W23" s="7"/>
      <c r="X23" s="7"/>
      <c r="Y23" s="7"/>
      <c r="Z23" s="7"/>
    </row>
    <row r="24" ht="14.25" customHeight="1">
      <c r="C24" s="7" t="s">
        <v>356</v>
      </c>
      <c r="D24" s="7" t="s">
        <v>185</v>
      </c>
      <c r="E24" s="7" t="s">
        <v>257</v>
      </c>
      <c r="F24" s="7" t="s">
        <v>357</v>
      </c>
      <c r="G24" s="132">
        <v>2.0</v>
      </c>
      <c r="H24" s="7" t="s">
        <v>358</v>
      </c>
      <c r="I24" s="55"/>
      <c r="J24" s="7"/>
      <c r="K24" s="7"/>
      <c r="L24" s="7"/>
      <c r="M24" s="7"/>
      <c r="N24" s="7"/>
      <c r="O24" s="7"/>
      <c r="P24" s="7"/>
      <c r="Q24" s="7"/>
      <c r="R24" s="7"/>
      <c r="S24" s="7"/>
      <c r="T24" s="7"/>
      <c r="U24" s="7"/>
      <c r="V24" s="7"/>
      <c r="W24" s="7"/>
      <c r="X24" s="7"/>
      <c r="Y24" s="7"/>
      <c r="Z24" s="7"/>
    </row>
    <row r="25" ht="14.25" customHeight="1">
      <c r="C25" s="7" t="s">
        <v>359</v>
      </c>
      <c r="D25" s="7" t="s">
        <v>197</v>
      </c>
      <c r="E25" s="7" t="s">
        <v>313</v>
      </c>
      <c r="F25" s="7" t="s">
        <v>360</v>
      </c>
      <c r="G25" s="111">
        <v>3.0</v>
      </c>
      <c r="H25" s="7" t="s">
        <v>361</v>
      </c>
      <c r="I25" s="55"/>
      <c r="J25" s="7"/>
      <c r="K25" s="7"/>
      <c r="L25" s="7"/>
      <c r="M25" s="7"/>
      <c r="N25" s="7"/>
      <c r="O25" s="7"/>
      <c r="P25" s="7"/>
      <c r="Q25" s="7"/>
      <c r="R25" s="7"/>
      <c r="S25" s="7"/>
      <c r="T25" s="7"/>
      <c r="U25" s="7"/>
      <c r="V25" s="7"/>
      <c r="W25" s="7"/>
      <c r="X25" s="7"/>
      <c r="Y25" s="7"/>
      <c r="Z25" s="7"/>
    </row>
    <row r="26" ht="14.25" customHeight="1">
      <c r="A26" s="81"/>
      <c r="B26" s="81"/>
      <c r="C26" s="7"/>
      <c r="D26" s="7"/>
      <c r="E26" s="7"/>
      <c r="F26" s="7"/>
      <c r="G26" s="111"/>
      <c r="H26" s="7"/>
      <c r="I26" s="55"/>
      <c r="J26" s="7"/>
      <c r="K26" s="7"/>
      <c r="L26" s="7"/>
      <c r="M26" s="7"/>
      <c r="N26" s="7"/>
      <c r="O26" s="7"/>
      <c r="P26" s="7"/>
      <c r="Q26" s="7"/>
      <c r="R26" s="7"/>
      <c r="S26" s="7"/>
      <c r="T26" s="7"/>
      <c r="U26" s="7"/>
      <c r="V26" s="7"/>
      <c r="W26" s="7"/>
      <c r="X26" s="7"/>
      <c r="Y26" s="7"/>
      <c r="Z26" s="7"/>
    </row>
    <row r="27" ht="14.25" customHeight="1">
      <c r="A27" s="109" t="s">
        <v>351</v>
      </c>
      <c r="B27" s="109" t="s">
        <v>362</v>
      </c>
      <c r="C27" s="7" t="s">
        <v>264</v>
      </c>
      <c r="D27" s="7" t="s">
        <v>339</v>
      </c>
      <c r="E27" s="7" t="s">
        <v>163</v>
      </c>
      <c r="F27" s="7" t="s">
        <v>353</v>
      </c>
      <c r="G27" s="131">
        <v>1.0</v>
      </c>
      <c r="H27" s="7"/>
      <c r="I27" s="55" t="str">
        <f>IFERROR(IF(I18=2,"0",VLOOKUP('Answer Sheet'!O18,F27:G30,2,FALSE)),"0")</f>
        <v>0</v>
      </c>
      <c r="J27" s="7"/>
      <c r="K27" s="7"/>
      <c r="L27" s="7"/>
      <c r="M27" s="7"/>
      <c r="N27" s="7"/>
      <c r="O27" s="7"/>
      <c r="P27" s="7"/>
      <c r="Q27" s="7"/>
      <c r="R27" s="7"/>
      <c r="S27" s="7"/>
      <c r="T27" s="7"/>
      <c r="U27" s="7"/>
      <c r="V27" s="7"/>
      <c r="W27" s="7"/>
      <c r="X27" s="7"/>
      <c r="Y27" s="7"/>
      <c r="Z27" s="7"/>
    </row>
    <row r="28" ht="14.25" customHeight="1">
      <c r="C28" s="7" t="s">
        <v>354</v>
      </c>
      <c r="D28" s="7" t="s">
        <v>185</v>
      </c>
      <c r="E28" s="7" t="s">
        <v>257</v>
      </c>
      <c r="F28" s="7" t="s">
        <v>355</v>
      </c>
      <c r="G28" s="132">
        <v>2.0</v>
      </c>
      <c r="H28" s="7" t="s">
        <v>363</v>
      </c>
      <c r="I28" s="55"/>
      <c r="J28" s="7"/>
      <c r="K28" s="7"/>
      <c r="L28" s="7"/>
      <c r="M28" s="7"/>
      <c r="N28" s="7"/>
      <c r="O28" s="7"/>
      <c r="P28" s="7"/>
      <c r="Q28" s="7"/>
      <c r="R28" s="7"/>
      <c r="S28" s="7"/>
      <c r="T28" s="7"/>
      <c r="U28" s="7"/>
      <c r="V28" s="7"/>
      <c r="W28" s="7"/>
      <c r="X28" s="7"/>
      <c r="Y28" s="7"/>
      <c r="Z28" s="7"/>
    </row>
    <row r="29" ht="14.25" customHeight="1">
      <c r="C29" s="7" t="s">
        <v>356</v>
      </c>
      <c r="D29" s="7" t="s">
        <v>185</v>
      </c>
      <c r="E29" s="7" t="s">
        <v>189</v>
      </c>
      <c r="F29" s="7" t="s">
        <v>357</v>
      </c>
      <c r="G29" s="163">
        <v>3.0</v>
      </c>
      <c r="H29" s="7" t="s">
        <v>364</v>
      </c>
      <c r="I29" s="7"/>
      <c r="J29" s="7"/>
      <c r="K29" s="7"/>
      <c r="L29" s="7"/>
      <c r="M29" s="7"/>
      <c r="N29" s="7"/>
      <c r="O29" s="7"/>
      <c r="P29" s="7"/>
      <c r="Q29" s="7"/>
      <c r="R29" s="7"/>
      <c r="S29" s="7"/>
      <c r="T29" s="7"/>
      <c r="U29" s="7"/>
      <c r="V29" s="7"/>
      <c r="W29" s="7"/>
      <c r="X29" s="7"/>
      <c r="Y29" s="7"/>
      <c r="Z29" s="7"/>
    </row>
    <row r="30" ht="14.25" customHeight="1">
      <c r="C30" s="7" t="s">
        <v>359</v>
      </c>
      <c r="D30" s="7" t="s">
        <v>172</v>
      </c>
      <c r="E30" s="7" t="s">
        <v>216</v>
      </c>
      <c r="F30" s="7" t="s">
        <v>360</v>
      </c>
      <c r="G30" s="133">
        <v>4.0</v>
      </c>
      <c r="H30" s="7" t="s">
        <v>365</v>
      </c>
      <c r="I30" s="7"/>
      <c r="J30" s="7"/>
      <c r="K30" s="7"/>
      <c r="L30" s="7"/>
      <c r="M30" s="7"/>
      <c r="N30" s="7"/>
      <c r="O30" s="7"/>
      <c r="P30" s="7"/>
      <c r="Q30" s="7"/>
      <c r="R30" s="7"/>
      <c r="S30" s="7"/>
      <c r="T30" s="7"/>
      <c r="U30" s="7"/>
      <c r="V30" s="7"/>
      <c r="W30" s="7"/>
      <c r="X30" s="7"/>
      <c r="Y30" s="7"/>
      <c r="Z30" s="7"/>
    </row>
    <row r="31" ht="14.25" customHeight="1">
      <c r="A31" s="109"/>
      <c r="B31" s="109"/>
      <c r="C31" s="7"/>
      <c r="D31" s="7"/>
      <c r="E31" s="7"/>
      <c r="F31" s="7"/>
      <c r="G31" s="111"/>
      <c r="H31" s="7"/>
      <c r="I31" s="7"/>
      <c r="J31" s="7"/>
      <c r="K31" s="7"/>
      <c r="L31" s="7"/>
      <c r="M31" s="7"/>
      <c r="N31" s="7"/>
      <c r="O31" s="7"/>
      <c r="P31" s="7"/>
      <c r="Q31" s="7"/>
      <c r="R31" s="7"/>
      <c r="S31" s="7"/>
      <c r="T31" s="7"/>
      <c r="U31" s="7"/>
      <c r="V31" s="7"/>
      <c r="W31" s="7"/>
      <c r="X31" s="7"/>
      <c r="Y31" s="7"/>
      <c r="Z31" s="7"/>
    </row>
    <row r="32" ht="14.25" customHeight="1">
      <c r="A32" s="109" t="s">
        <v>366</v>
      </c>
      <c r="B32" s="109" t="s">
        <v>367</v>
      </c>
      <c r="C32" s="7" t="s">
        <v>368</v>
      </c>
      <c r="D32" s="7" t="s">
        <v>339</v>
      </c>
      <c r="E32" s="7" t="s">
        <v>163</v>
      </c>
      <c r="F32" s="7" t="s">
        <v>369</v>
      </c>
      <c r="G32" s="131">
        <v>1.0</v>
      </c>
      <c r="H32" s="7"/>
      <c r="I32" s="111" t="str">
        <f>IFERROR(VLOOKUP('Answer Sheet'!O19,F32:G35,2,FALSE),"0")</f>
        <v>0</v>
      </c>
      <c r="J32" s="7"/>
      <c r="K32" s="7"/>
      <c r="L32" s="7"/>
      <c r="M32" s="7"/>
      <c r="N32" s="7"/>
      <c r="O32" s="7"/>
      <c r="P32" s="7"/>
      <c r="Q32" s="7"/>
      <c r="R32" s="7"/>
      <c r="S32" s="7"/>
      <c r="T32" s="7"/>
      <c r="U32" s="7"/>
      <c r="V32" s="7"/>
      <c r="W32" s="7"/>
      <c r="X32" s="7"/>
      <c r="Y32" s="7"/>
      <c r="Z32" s="7"/>
    </row>
    <row r="33" ht="14.25" customHeight="1">
      <c r="C33" s="7" t="s">
        <v>370</v>
      </c>
      <c r="D33" s="7" t="s">
        <v>181</v>
      </c>
      <c r="E33" s="7" t="s">
        <v>257</v>
      </c>
      <c r="F33" s="7" t="s">
        <v>371</v>
      </c>
      <c r="G33" s="132">
        <v>2.0</v>
      </c>
      <c r="H33" s="7" t="s">
        <v>372</v>
      </c>
      <c r="I33" s="111" t="str">
        <f>IFERROR(VLOOKUP('Answer Sheet'!Q19,F32:G35,2,FALSE),"0")</f>
        <v>0</v>
      </c>
      <c r="J33" s="7"/>
      <c r="K33" s="7"/>
      <c r="L33" s="7"/>
      <c r="M33" s="7"/>
      <c r="N33" s="7"/>
      <c r="O33" s="7"/>
      <c r="P33" s="7"/>
      <c r="Q33" s="7"/>
      <c r="R33" s="7"/>
      <c r="S33" s="7"/>
      <c r="T33" s="7"/>
      <c r="U33" s="7"/>
      <c r="V33" s="7"/>
      <c r="W33" s="7"/>
      <c r="X33" s="7"/>
      <c r="Y33" s="7"/>
      <c r="Z33" s="7"/>
    </row>
    <row r="34" ht="14.25" customHeight="1">
      <c r="C34" s="7" t="s">
        <v>373</v>
      </c>
      <c r="D34" s="7" t="s">
        <v>172</v>
      </c>
      <c r="E34" s="7" t="s">
        <v>189</v>
      </c>
      <c r="F34" s="7" t="s">
        <v>374</v>
      </c>
      <c r="G34" s="133">
        <v>4.0</v>
      </c>
      <c r="H34" s="7" t="s">
        <v>375</v>
      </c>
      <c r="I34" s="111" t="str">
        <f>IFERROR(VLOOKUP('Answer Sheet'!S19,F32:G35,2,FALSE),"0")</f>
        <v>0</v>
      </c>
      <c r="J34" s="7"/>
      <c r="K34" s="7"/>
      <c r="L34" s="7"/>
      <c r="M34" s="7"/>
      <c r="N34" s="7"/>
      <c r="O34" s="7"/>
      <c r="P34" s="7"/>
      <c r="Q34" s="7"/>
      <c r="R34" s="7"/>
      <c r="S34" s="7"/>
      <c r="T34" s="7"/>
      <c r="U34" s="7"/>
      <c r="V34" s="7"/>
      <c r="W34" s="7"/>
      <c r="X34" s="7"/>
      <c r="Y34" s="7"/>
      <c r="Z34" s="7"/>
    </row>
    <row r="35" ht="14.25" customHeight="1">
      <c r="C35" s="7"/>
      <c r="D35" s="7"/>
      <c r="E35" s="7"/>
      <c r="F35" s="7"/>
      <c r="G35" s="111"/>
      <c r="H35" s="7"/>
      <c r="I35" s="7"/>
      <c r="J35" s="7"/>
      <c r="K35" s="7"/>
      <c r="L35" s="7"/>
      <c r="M35" s="7"/>
      <c r="N35" s="7"/>
      <c r="O35" s="7"/>
      <c r="P35" s="7"/>
      <c r="Q35" s="7"/>
      <c r="R35" s="7"/>
      <c r="S35" s="7"/>
      <c r="T35" s="7"/>
      <c r="U35" s="7"/>
      <c r="V35" s="7"/>
      <c r="W35" s="7"/>
      <c r="X35" s="7"/>
      <c r="Y35" s="7"/>
      <c r="Z35" s="7"/>
    </row>
    <row r="36" ht="14.25" customHeight="1">
      <c r="A36" s="109" t="s">
        <v>376</v>
      </c>
      <c r="B36" s="109" t="s">
        <v>377</v>
      </c>
      <c r="C36" s="7" t="s">
        <v>378</v>
      </c>
      <c r="D36" s="7" t="s">
        <v>162</v>
      </c>
      <c r="E36" s="7" t="s">
        <v>163</v>
      </c>
      <c r="F36" s="7" t="s">
        <v>379</v>
      </c>
      <c r="G36" s="131">
        <v>1.0</v>
      </c>
      <c r="H36" s="7"/>
      <c r="I36" s="55" t="str">
        <f>IFERROR(VLOOKUP('Answer Sheet'!O20,F36:G38,2,FALSE),"0")</f>
        <v>0</v>
      </c>
      <c r="J36" s="7"/>
      <c r="K36" s="7"/>
      <c r="L36" s="7"/>
      <c r="M36" s="7"/>
      <c r="N36" s="7"/>
      <c r="O36" s="7"/>
      <c r="P36" s="7"/>
      <c r="Q36" s="7"/>
      <c r="R36" s="7"/>
      <c r="S36" s="7"/>
      <c r="T36" s="7"/>
      <c r="U36" s="7"/>
      <c r="V36" s="7"/>
      <c r="W36" s="7"/>
      <c r="X36" s="7"/>
      <c r="Y36" s="7"/>
      <c r="Z36" s="7"/>
    </row>
    <row r="37" ht="14.25" customHeight="1">
      <c r="C37" s="7" t="s">
        <v>380</v>
      </c>
      <c r="D37" s="7" t="s">
        <v>185</v>
      </c>
      <c r="E37" s="7" t="s">
        <v>168</v>
      </c>
      <c r="F37" s="7" t="s">
        <v>381</v>
      </c>
      <c r="G37" s="163">
        <v>3.0</v>
      </c>
      <c r="H37" s="7" t="s">
        <v>382</v>
      </c>
      <c r="I37" s="7"/>
      <c r="J37" s="7"/>
      <c r="K37" s="7"/>
      <c r="L37" s="7"/>
      <c r="M37" s="7"/>
      <c r="N37" s="7"/>
      <c r="O37" s="7"/>
      <c r="P37" s="7"/>
      <c r="Q37" s="7"/>
      <c r="R37" s="7"/>
      <c r="S37" s="7"/>
      <c r="T37" s="7"/>
      <c r="U37" s="7"/>
      <c r="V37" s="7"/>
      <c r="W37" s="7"/>
      <c r="X37" s="7"/>
      <c r="Y37" s="7"/>
      <c r="Z37" s="7"/>
    </row>
    <row r="38" ht="14.25" customHeight="1">
      <c r="C38" s="7" t="s">
        <v>383</v>
      </c>
      <c r="D38" s="7" t="s">
        <v>172</v>
      </c>
      <c r="E38" s="7" t="s">
        <v>216</v>
      </c>
      <c r="F38" s="7" t="s">
        <v>384</v>
      </c>
      <c r="G38" s="133">
        <v>4.0</v>
      </c>
      <c r="H38" s="7" t="s">
        <v>385</v>
      </c>
      <c r="I38" s="7"/>
      <c r="J38" s="7"/>
      <c r="K38" s="7"/>
      <c r="L38" s="7"/>
      <c r="M38" s="7"/>
      <c r="N38" s="7"/>
      <c r="O38" s="7"/>
      <c r="P38" s="7"/>
      <c r="Q38" s="7"/>
      <c r="R38" s="7"/>
      <c r="S38" s="7"/>
      <c r="T38" s="7"/>
      <c r="U38" s="7"/>
      <c r="V38" s="7"/>
      <c r="W38" s="7"/>
      <c r="X38" s="7"/>
      <c r="Y38" s="7"/>
      <c r="Z38" s="7"/>
    </row>
    <row r="39" ht="14.25" customHeight="1">
      <c r="A39" s="109"/>
      <c r="B39" s="109"/>
      <c r="C39" s="7"/>
      <c r="D39" s="7"/>
      <c r="E39" s="7"/>
      <c r="F39" s="7"/>
      <c r="G39" s="111"/>
      <c r="H39" s="7"/>
      <c r="I39" s="7"/>
      <c r="J39" s="7"/>
      <c r="K39" s="7"/>
      <c r="L39" s="7"/>
      <c r="M39" s="7"/>
      <c r="N39" s="7"/>
      <c r="O39" s="7"/>
      <c r="P39" s="7"/>
      <c r="Q39" s="7"/>
      <c r="R39" s="7"/>
      <c r="S39" s="7"/>
      <c r="T39" s="7"/>
      <c r="U39" s="7"/>
      <c r="V39" s="7"/>
      <c r="W39" s="7"/>
      <c r="X39" s="7"/>
      <c r="Y39" s="7"/>
      <c r="Z39" s="7"/>
    </row>
    <row r="40" ht="14.25" customHeight="1">
      <c r="A40" s="109" t="s">
        <v>386</v>
      </c>
      <c r="B40" s="109" t="s">
        <v>387</v>
      </c>
      <c r="C40" s="7" t="s">
        <v>378</v>
      </c>
      <c r="D40" s="7" t="s">
        <v>162</v>
      </c>
      <c r="E40" s="7" t="s">
        <v>163</v>
      </c>
      <c r="F40" s="7" t="s">
        <v>388</v>
      </c>
      <c r="G40" s="131">
        <v>1.0</v>
      </c>
      <c r="H40" s="7"/>
      <c r="I40" s="55" t="str">
        <f>IFERROR(VLOOKUP('Answer Sheet'!O21,F40:G42,2,FALSE),"0")</f>
        <v>0</v>
      </c>
      <c r="J40" s="7"/>
      <c r="K40" s="7"/>
      <c r="L40" s="7"/>
      <c r="M40" s="7"/>
      <c r="N40" s="7"/>
      <c r="O40" s="7"/>
      <c r="P40" s="7"/>
      <c r="Q40" s="7"/>
      <c r="R40" s="7"/>
      <c r="S40" s="7"/>
      <c r="T40" s="7"/>
      <c r="U40" s="7"/>
      <c r="V40" s="7"/>
      <c r="W40" s="7"/>
      <c r="X40" s="7"/>
      <c r="Y40" s="7"/>
      <c r="Z40" s="7"/>
    </row>
    <row r="41" ht="14.25" customHeight="1">
      <c r="C41" s="7" t="s">
        <v>389</v>
      </c>
      <c r="D41" s="7" t="s">
        <v>185</v>
      </c>
      <c r="E41" s="7" t="s">
        <v>257</v>
      </c>
      <c r="F41" s="7" t="s">
        <v>390</v>
      </c>
      <c r="G41" s="132">
        <v>2.0</v>
      </c>
      <c r="H41" s="7" t="s">
        <v>391</v>
      </c>
      <c r="I41" s="7"/>
      <c r="J41" s="7"/>
      <c r="K41" s="7"/>
      <c r="L41" s="7"/>
      <c r="M41" s="7"/>
      <c r="N41" s="7"/>
      <c r="O41" s="7"/>
      <c r="P41" s="7"/>
      <c r="Q41" s="7"/>
      <c r="R41" s="7"/>
      <c r="S41" s="7"/>
      <c r="T41" s="7"/>
      <c r="U41" s="7"/>
      <c r="V41" s="7"/>
      <c r="W41" s="7"/>
      <c r="X41" s="7"/>
      <c r="Y41" s="7"/>
      <c r="Z41" s="7"/>
    </row>
    <row r="42" ht="14.25" customHeight="1">
      <c r="C42" s="7" t="s">
        <v>392</v>
      </c>
      <c r="D42" s="7" t="s">
        <v>172</v>
      </c>
      <c r="E42" s="7" t="s">
        <v>216</v>
      </c>
      <c r="F42" s="7" t="s">
        <v>393</v>
      </c>
      <c r="G42" s="133">
        <v>4.0</v>
      </c>
      <c r="H42" s="7" t="s">
        <v>394</v>
      </c>
      <c r="I42" s="7"/>
      <c r="J42" s="7"/>
      <c r="K42" s="7"/>
      <c r="L42" s="7"/>
      <c r="M42" s="7"/>
      <c r="N42" s="7"/>
      <c r="O42" s="7"/>
      <c r="P42" s="7"/>
      <c r="Q42" s="7"/>
      <c r="R42" s="7"/>
      <c r="S42" s="7"/>
      <c r="T42" s="7"/>
      <c r="U42" s="7"/>
      <c r="V42" s="7"/>
      <c r="W42" s="7"/>
      <c r="X42" s="7"/>
      <c r="Y42" s="7"/>
      <c r="Z42" s="7"/>
    </row>
    <row r="43" ht="14.25" customHeight="1">
      <c r="A43" s="7"/>
      <c r="B43" s="7"/>
      <c r="C43" s="7"/>
      <c r="D43" s="7"/>
      <c r="E43" s="7"/>
      <c r="F43" s="7"/>
      <c r="G43" s="7"/>
      <c r="H43" s="7"/>
      <c r="I43" s="7"/>
      <c r="J43" s="7"/>
      <c r="K43" s="7"/>
      <c r="L43" s="7"/>
      <c r="M43" s="7"/>
      <c r="N43" s="7"/>
      <c r="O43" s="7"/>
      <c r="P43" s="7"/>
      <c r="Q43" s="7"/>
      <c r="R43" s="7"/>
      <c r="S43" s="7"/>
      <c r="T43" s="7"/>
      <c r="U43" s="7"/>
      <c r="V43" s="7"/>
      <c r="W43" s="7"/>
      <c r="X43" s="7"/>
      <c r="Y43" s="7"/>
      <c r="Z43" s="7"/>
    </row>
    <row r="44" ht="14.25" customHeight="1">
      <c r="A44" s="109" t="s">
        <v>395</v>
      </c>
      <c r="B44" s="109" t="s">
        <v>396</v>
      </c>
      <c r="C44" s="7" t="s">
        <v>267</v>
      </c>
      <c r="D44" s="7" t="s">
        <v>162</v>
      </c>
      <c r="E44" s="7" t="s">
        <v>163</v>
      </c>
      <c r="F44" s="7" t="s">
        <v>397</v>
      </c>
      <c r="G44" s="131">
        <v>1.0</v>
      </c>
      <c r="H44" s="7"/>
      <c r="I44" s="111" t="str">
        <f>IFERROR(VLOOKUP('Answer Sheet'!O22,F44:G46,2,FALSE),"0")</f>
        <v>0</v>
      </c>
      <c r="J44" s="7"/>
      <c r="K44" s="7"/>
      <c r="L44" s="7"/>
      <c r="M44" s="7"/>
      <c r="N44" s="7"/>
      <c r="O44" s="7"/>
      <c r="P44" s="7"/>
      <c r="Q44" s="7"/>
      <c r="R44" s="7"/>
      <c r="S44" s="7"/>
      <c r="T44" s="7"/>
      <c r="U44" s="7"/>
      <c r="V44" s="7"/>
      <c r="W44" s="7"/>
      <c r="X44" s="7"/>
      <c r="Y44" s="7"/>
      <c r="Z44" s="7"/>
    </row>
    <row r="45" ht="14.25" customHeight="1">
      <c r="C45" s="7" t="s">
        <v>161</v>
      </c>
      <c r="D45" s="7" t="s">
        <v>185</v>
      </c>
      <c r="E45" s="7" t="s">
        <v>257</v>
      </c>
      <c r="F45" s="7" t="s">
        <v>398</v>
      </c>
      <c r="G45" s="132">
        <v>2.0</v>
      </c>
      <c r="H45" s="7" t="s">
        <v>399</v>
      </c>
      <c r="I45" s="7"/>
      <c r="J45" s="7"/>
      <c r="K45" s="7"/>
      <c r="L45" s="7"/>
      <c r="M45" s="7"/>
      <c r="N45" s="7"/>
      <c r="O45" s="7"/>
      <c r="P45" s="7"/>
      <c r="Q45" s="7"/>
      <c r="R45" s="7"/>
      <c r="S45" s="7"/>
      <c r="T45" s="7"/>
      <c r="U45" s="7"/>
      <c r="V45" s="7"/>
      <c r="W45" s="7"/>
      <c r="X45" s="7"/>
      <c r="Y45" s="7"/>
      <c r="Z45" s="7"/>
    </row>
    <row r="46" ht="14.25" customHeight="1">
      <c r="C46" s="7" t="s">
        <v>264</v>
      </c>
      <c r="D46" s="7" t="s">
        <v>172</v>
      </c>
      <c r="E46" s="7" t="s">
        <v>313</v>
      </c>
      <c r="F46" s="7" t="s">
        <v>400</v>
      </c>
      <c r="G46" s="163">
        <v>3.0</v>
      </c>
      <c r="H46" s="7" t="s">
        <v>401</v>
      </c>
      <c r="I46" s="7"/>
      <c r="J46" s="7"/>
      <c r="K46" s="7"/>
      <c r="L46" s="7"/>
      <c r="M46" s="7"/>
      <c r="N46" s="7"/>
      <c r="O46" s="7"/>
      <c r="P46" s="7"/>
      <c r="Q46" s="7"/>
      <c r="R46" s="7"/>
      <c r="S46" s="7"/>
      <c r="T46" s="7"/>
      <c r="U46" s="7"/>
      <c r="V46" s="7"/>
      <c r="W46" s="7"/>
      <c r="X46" s="7"/>
      <c r="Y46" s="7"/>
      <c r="Z46" s="7"/>
    </row>
    <row r="47" ht="14.25" customHeight="1">
      <c r="A47" s="7"/>
      <c r="B47" s="7"/>
      <c r="C47" s="7"/>
      <c r="D47" s="7"/>
      <c r="E47" s="7"/>
      <c r="F47" s="7"/>
      <c r="G47" s="7"/>
      <c r="H47" s="7"/>
      <c r="I47" s="7"/>
      <c r="J47" s="7"/>
      <c r="K47" s="7"/>
      <c r="L47" s="7"/>
      <c r="M47" s="7"/>
      <c r="N47" s="7"/>
      <c r="O47" s="7"/>
      <c r="P47" s="7"/>
      <c r="Q47" s="7"/>
      <c r="R47" s="7"/>
      <c r="S47" s="7"/>
      <c r="T47" s="7"/>
      <c r="U47" s="7"/>
      <c r="V47" s="7"/>
      <c r="W47" s="7"/>
      <c r="X47" s="7"/>
      <c r="Y47" s="7"/>
      <c r="Z47" s="7"/>
    </row>
    <row r="48" ht="14.25" customHeight="1">
      <c r="A48" s="7"/>
      <c r="B48" s="7"/>
      <c r="C48" s="7"/>
      <c r="D48" s="7"/>
      <c r="E48" s="7"/>
      <c r="F48" s="7"/>
      <c r="G48" s="7"/>
      <c r="H48" s="7"/>
      <c r="I48" s="7"/>
      <c r="J48" s="7"/>
      <c r="K48" s="7"/>
      <c r="L48" s="7"/>
      <c r="M48" s="7"/>
      <c r="N48" s="7"/>
      <c r="O48" s="7"/>
      <c r="P48" s="7"/>
      <c r="Q48" s="7"/>
      <c r="R48" s="7"/>
      <c r="S48" s="7"/>
      <c r="T48" s="7"/>
      <c r="U48" s="7"/>
      <c r="V48" s="7"/>
      <c r="W48" s="7"/>
      <c r="X48" s="7"/>
      <c r="Y48" s="7"/>
      <c r="Z48" s="7"/>
    </row>
    <row r="49" ht="14.25" customHeight="1">
      <c r="A49" s="7"/>
      <c r="B49" s="7"/>
      <c r="C49" s="7"/>
      <c r="D49" s="7"/>
      <c r="E49" s="7"/>
      <c r="F49" s="7"/>
      <c r="G49" s="7"/>
      <c r="H49" s="7"/>
      <c r="I49" s="7"/>
      <c r="J49" s="7"/>
      <c r="K49" s="7"/>
      <c r="L49" s="7"/>
      <c r="M49" s="7"/>
      <c r="N49" s="7"/>
      <c r="O49" s="7"/>
      <c r="P49" s="7"/>
      <c r="Q49" s="7"/>
      <c r="R49" s="7"/>
      <c r="S49" s="7"/>
      <c r="T49" s="7"/>
      <c r="U49" s="7"/>
      <c r="V49" s="7"/>
      <c r="W49" s="7"/>
      <c r="X49" s="7"/>
      <c r="Y49" s="7"/>
      <c r="Z49" s="7"/>
    </row>
    <row r="50" ht="14.25" customHeight="1">
      <c r="A50" s="7"/>
      <c r="B50" s="7"/>
      <c r="C50" s="7"/>
      <c r="D50" s="7"/>
      <c r="E50" s="7"/>
      <c r="F50" s="7"/>
      <c r="G50" s="7"/>
      <c r="H50" s="7"/>
      <c r="I50" s="7"/>
      <c r="J50" s="7"/>
      <c r="K50" s="7"/>
      <c r="L50" s="7"/>
      <c r="M50" s="7"/>
      <c r="N50" s="7"/>
      <c r="O50" s="7"/>
      <c r="P50" s="7"/>
      <c r="Q50" s="7"/>
      <c r="R50" s="7"/>
      <c r="S50" s="7"/>
      <c r="T50" s="7"/>
      <c r="U50" s="7"/>
      <c r="V50" s="7"/>
      <c r="W50" s="7"/>
      <c r="X50" s="7"/>
      <c r="Y50" s="7"/>
      <c r="Z50" s="7"/>
    </row>
    <row r="51" ht="14.25" customHeight="1">
      <c r="A51" s="7"/>
      <c r="B51" s="7"/>
      <c r="C51" s="7"/>
      <c r="D51" s="7"/>
      <c r="E51" s="7"/>
      <c r="F51" s="7"/>
      <c r="G51" s="7"/>
      <c r="H51" s="7"/>
      <c r="I51" s="7"/>
      <c r="J51" s="7"/>
      <c r="K51" s="7"/>
      <c r="L51" s="7"/>
      <c r="M51" s="7"/>
      <c r="N51" s="7"/>
      <c r="O51" s="7"/>
      <c r="P51" s="7"/>
      <c r="Q51" s="7"/>
      <c r="R51" s="7"/>
      <c r="S51" s="7"/>
      <c r="T51" s="7"/>
      <c r="U51" s="7"/>
      <c r="V51" s="7"/>
      <c r="W51" s="7"/>
      <c r="X51" s="7"/>
      <c r="Y51" s="7"/>
      <c r="Z51" s="7"/>
    </row>
    <row r="52" ht="14.25" customHeight="1">
      <c r="A52" s="135" t="s">
        <v>220</v>
      </c>
      <c r="K52" s="7"/>
      <c r="L52" s="7"/>
      <c r="M52" s="7"/>
      <c r="N52" s="7"/>
      <c r="O52" s="7"/>
      <c r="P52" s="7"/>
      <c r="Q52" s="7"/>
      <c r="R52" s="7"/>
      <c r="S52" s="7"/>
      <c r="T52" s="7"/>
      <c r="U52" s="7"/>
      <c r="V52" s="7"/>
      <c r="W52" s="7"/>
      <c r="X52" s="7"/>
      <c r="Y52" s="7"/>
      <c r="Z52" s="7"/>
    </row>
    <row r="53" ht="14.25" customHeight="1">
      <c r="A53" s="7"/>
      <c r="B53" s="7"/>
      <c r="C53" s="7"/>
      <c r="D53" s="7"/>
      <c r="E53" s="7"/>
      <c r="F53" s="7"/>
      <c r="G53" s="7"/>
      <c r="H53" s="7"/>
      <c r="I53" s="7"/>
      <c r="J53" s="7"/>
      <c r="K53" s="7"/>
      <c r="L53" s="7"/>
      <c r="M53" s="7"/>
      <c r="N53" s="7"/>
      <c r="O53" s="7"/>
      <c r="P53" s="7"/>
      <c r="Q53" s="7"/>
      <c r="R53" s="7"/>
      <c r="S53" s="7"/>
      <c r="T53" s="7"/>
      <c r="U53" s="7"/>
      <c r="V53" s="7"/>
      <c r="W53" s="7"/>
      <c r="X53" s="7"/>
      <c r="Y53" s="7"/>
      <c r="Z53" s="7"/>
    </row>
    <row r="54" ht="14.25" customHeight="1">
      <c r="A54" s="111" t="s">
        <v>221</v>
      </c>
      <c r="B54" s="7" t="s">
        <v>222</v>
      </c>
      <c r="C54" s="7"/>
      <c r="D54" s="7"/>
      <c r="E54" s="7"/>
      <c r="F54" s="7"/>
      <c r="G54" s="7"/>
      <c r="H54" s="7"/>
      <c r="I54" s="7"/>
      <c r="J54" s="7"/>
      <c r="K54" s="7"/>
      <c r="L54" s="7"/>
      <c r="M54" s="7"/>
      <c r="N54" s="7"/>
      <c r="O54" s="7"/>
      <c r="P54" s="7"/>
      <c r="Q54" s="7"/>
      <c r="R54" s="7"/>
      <c r="S54" s="7"/>
      <c r="T54" s="7"/>
      <c r="U54" s="7"/>
      <c r="V54" s="7"/>
      <c r="W54" s="7"/>
      <c r="X54" s="7"/>
      <c r="Y54" s="7"/>
      <c r="Z54" s="7"/>
    </row>
    <row r="55" ht="14.25" customHeight="1">
      <c r="A55" s="136">
        <v>1.0</v>
      </c>
      <c r="B55" s="7" t="s">
        <v>402</v>
      </c>
      <c r="C55" s="7"/>
      <c r="D55" s="7"/>
      <c r="E55" s="7"/>
      <c r="F55" s="7"/>
      <c r="G55" s="7"/>
      <c r="H55" s="7"/>
      <c r="I55" s="55">
        <f>SUM(I4:I44)</f>
        <v>0</v>
      </c>
      <c r="J55" s="7"/>
      <c r="K55" s="7"/>
      <c r="L55" s="7"/>
      <c r="M55" s="7"/>
      <c r="N55" s="7"/>
      <c r="O55" s="7"/>
      <c r="P55" s="7"/>
      <c r="Q55" s="7"/>
      <c r="R55" s="7"/>
      <c r="S55" s="7"/>
      <c r="T55" s="7"/>
      <c r="U55" s="7"/>
      <c r="V55" s="7"/>
      <c r="W55" s="7"/>
      <c r="X55" s="7"/>
      <c r="Y55" s="7"/>
      <c r="Z55" s="7"/>
    </row>
    <row r="56" ht="14.25" customHeight="1">
      <c r="A56" s="136">
        <v>1.2</v>
      </c>
      <c r="B56" s="7" t="s">
        <v>402</v>
      </c>
      <c r="C56" s="7"/>
      <c r="D56" s="7"/>
      <c r="E56" s="7"/>
      <c r="F56" s="7"/>
      <c r="G56" s="7"/>
      <c r="H56" s="7"/>
      <c r="I56" s="55">
        <f>COUNTIF(I5:I44,"&gt;0.9")</f>
        <v>0</v>
      </c>
      <c r="J56" s="7"/>
      <c r="K56" s="7"/>
      <c r="L56" s="7"/>
      <c r="M56" s="7"/>
      <c r="N56" s="7"/>
      <c r="O56" s="7"/>
      <c r="P56" s="7"/>
      <c r="Q56" s="7"/>
      <c r="R56" s="7"/>
      <c r="S56" s="7"/>
      <c r="T56" s="7"/>
      <c r="U56" s="7"/>
      <c r="V56" s="7"/>
      <c r="W56" s="7"/>
      <c r="X56" s="7"/>
      <c r="Y56" s="7"/>
      <c r="Z56" s="7"/>
    </row>
    <row r="57" ht="14.25" customHeight="1">
      <c r="A57" s="136">
        <v>1.3</v>
      </c>
      <c r="B57" s="7" t="s">
        <v>402</v>
      </c>
      <c r="C57" s="7"/>
      <c r="D57" s="7"/>
      <c r="E57" s="7"/>
      <c r="F57" s="7"/>
      <c r="G57" s="7"/>
      <c r="H57" s="130" t="s">
        <v>219</v>
      </c>
      <c r="I57" s="55" t="str">
        <f>IFERROR(ROUND(I55/I56,1),"0")</f>
        <v>0</v>
      </c>
      <c r="J57" s="7"/>
      <c r="K57" s="7"/>
      <c r="L57" s="7"/>
      <c r="M57" s="7"/>
      <c r="N57" s="7"/>
      <c r="O57" s="7"/>
      <c r="P57" s="7"/>
      <c r="Q57" s="7"/>
      <c r="R57" s="7"/>
      <c r="S57" s="7"/>
      <c r="T57" s="7"/>
      <c r="U57" s="7"/>
      <c r="V57" s="7"/>
      <c r="W57" s="7"/>
      <c r="X57" s="7"/>
      <c r="Y57" s="7"/>
      <c r="Z57" s="7"/>
    </row>
    <row r="58" ht="14.25" customHeight="1">
      <c r="A58" s="136">
        <v>1.4</v>
      </c>
      <c r="B58" s="7" t="s">
        <v>402</v>
      </c>
      <c r="C58" s="7"/>
      <c r="D58" s="7"/>
      <c r="E58" s="7"/>
      <c r="F58" s="7"/>
      <c r="G58" s="7"/>
      <c r="H58" s="7"/>
      <c r="I58" s="7"/>
      <c r="J58" s="7"/>
      <c r="K58" s="7"/>
      <c r="L58" s="7"/>
      <c r="M58" s="7"/>
      <c r="N58" s="7"/>
      <c r="O58" s="7"/>
      <c r="P58" s="7"/>
      <c r="Q58" s="7"/>
      <c r="R58" s="7"/>
      <c r="S58" s="7"/>
      <c r="T58" s="7"/>
      <c r="U58" s="7"/>
      <c r="V58" s="7"/>
      <c r="W58" s="7"/>
      <c r="X58" s="7"/>
      <c r="Y58" s="7"/>
      <c r="Z58" s="7"/>
    </row>
    <row r="59" ht="14.25" customHeight="1">
      <c r="A59" s="137">
        <v>1.5</v>
      </c>
      <c r="B59" s="7" t="s">
        <v>403</v>
      </c>
      <c r="C59" s="7"/>
      <c r="D59" s="7"/>
      <c r="E59" s="7"/>
      <c r="F59" s="7"/>
      <c r="G59" s="7"/>
      <c r="H59" s="7"/>
      <c r="I59" s="7"/>
      <c r="J59" s="7"/>
      <c r="K59" s="7"/>
      <c r="L59" s="7"/>
      <c r="M59" s="7"/>
      <c r="N59" s="7"/>
      <c r="O59" s="7"/>
      <c r="P59" s="7"/>
      <c r="Q59" s="7"/>
      <c r="R59" s="7"/>
      <c r="S59" s="7"/>
      <c r="T59" s="7"/>
      <c r="U59" s="7"/>
      <c r="V59" s="7"/>
      <c r="W59" s="7"/>
      <c r="X59" s="7"/>
      <c r="Y59" s="7"/>
      <c r="Z59" s="7"/>
    </row>
    <row r="60" ht="14.25" customHeight="1">
      <c r="A60" s="137">
        <v>1.6</v>
      </c>
      <c r="B60" s="7" t="s">
        <v>403</v>
      </c>
      <c r="C60" s="7"/>
      <c r="D60" s="7"/>
      <c r="E60" s="7"/>
      <c r="F60" s="7"/>
      <c r="G60" s="7"/>
      <c r="H60" s="7"/>
      <c r="I60" s="7"/>
      <c r="J60" s="7"/>
      <c r="K60" s="7"/>
      <c r="L60" s="7"/>
      <c r="M60" s="7"/>
      <c r="N60" s="7"/>
      <c r="O60" s="7"/>
      <c r="P60" s="7"/>
      <c r="Q60" s="7"/>
      <c r="R60" s="7"/>
      <c r="S60" s="7"/>
      <c r="T60" s="7"/>
      <c r="U60" s="7"/>
      <c r="V60" s="7"/>
      <c r="W60" s="7"/>
      <c r="X60" s="7"/>
      <c r="Y60" s="7"/>
      <c r="Z60" s="7"/>
    </row>
    <row r="61" ht="14.25" customHeight="1">
      <c r="A61" s="137">
        <v>1.7</v>
      </c>
      <c r="B61" s="7" t="s">
        <v>403</v>
      </c>
      <c r="C61" s="7"/>
      <c r="D61" s="7"/>
      <c r="E61" s="7"/>
      <c r="F61" s="7"/>
      <c r="G61" s="7"/>
      <c r="H61" s="7"/>
      <c r="I61" s="7"/>
      <c r="J61" s="7"/>
      <c r="K61" s="7"/>
      <c r="L61" s="7"/>
      <c r="M61" s="7"/>
      <c r="N61" s="7"/>
      <c r="O61" s="7"/>
      <c r="P61" s="7"/>
      <c r="Q61" s="7"/>
      <c r="R61" s="7"/>
      <c r="S61" s="7"/>
      <c r="T61" s="7"/>
      <c r="U61" s="7"/>
      <c r="V61" s="7"/>
      <c r="W61" s="7"/>
      <c r="X61" s="7"/>
      <c r="Y61" s="7"/>
      <c r="Z61" s="7"/>
    </row>
    <row r="62" ht="14.25" customHeight="1">
      <c r="A62" s="137">
        <v>1.8</v>
      </c>
      <c r="B62" s="7" t="s">
        <v>403</v>
      </c>
      <c r="C62" s="7"/>
      <c r="D62" s="7"/>
      <c r="E62" s="7"/>
      <c r="F62" s="7"/>
      <c r="G62" s="7"/>
      <c r="H62" s="7"/>
      <c r="I62" s="7"/>
      <c r="J62" s="7"/>
      <c r="K62" s="7"/>
      <c r="L62" s="7"/>
      <c r="M62" s="7"/>
      <c r="N62" s="7"/>
      <c r="O62" s="7"/>
      <c r="P62" s="7"/>
      <c r="Q62" s="7"/>
      <c r="R62" s="7"/>
      <c r="S62" s="7"/>
      <c r="T62" s="7"/>
      <c r="U62" s="7"/>
      <c r="V62" s="7"/>
      <c r="W62" s="7"/>
      <c r="X62" s="7"/>
      <c r="Y62" s="7"/>
      <c r="Z62" s="7"/>
    </row>
    <row r="63" ht="14.25" customHeight="1">
      <c r="A63" s="137">
        <v>1.9</v>
      </c>
      <c r="B63" s="7" t="s">
        <v>403</v>
      </c>
      <c r="C63" s="7"/>
      <c r="D63" s="7"/>
      <c r="E63" s="7"/>
      <c r="F63" s="7"/>
      <c r="G63" s="7"/>
      <c r="H63" s="7"/>
      <c r="I63" s="7"/>
      <c r="J63" s="7"/>
      <c r="K63" s="7"/>
      <c r="L63" s="7"/>
      <c r="M63" s="7"/>
      <c r="N63" s="7"/>
      <c r="O63" s="7"/>
      <c r="P63" s="7"/>
      <c r="Q63" s="7"/>
      <c r="R63" s="7"/>
      <c r="S63" s="7"/>
      <c r="T63" s="7"/>
      <c r="U63" s="7"/>
      <c r="V63" s="7"/>
      <c r="W63" s="7"/>
      <c r="X63" s="7"/>
      <c r="Y63" s="7"/>
      <c r="Z63" s="7"/>
    </row>
    <row r="64" ht="14.25" customHeight="1">
      <c r="A64" s="137">
        <v>2.0</v>
      </c>
      <c r="B64" s="7" t="s">
        <v>403</v>
      </c>
      <c r="C64" s="7"/>
      <c r="D64" s="7"/>
      <c r="E64" s="7"/>
      <c r="F64" s="7"/>
      <c r="G64" s="7"/>
      <c r="H64" s="7"/>
      <c r="I64" s="7"/>
      <c r="J64" s="7"/>
      <c r="K64" s="7"/>
      <c r="L64" s="7"/>
      <c r="M64" s="7"/>
      <c r="N64" s="7"/>
      <c r="O64" s="7"/>
      <c r="P64" s="7"/>
      <c r="Q64" s="7"/>
      <c r="R64" s="7"/>
      <c r="S64" s="7"/>
      <c r="T64" s="7"/>
      <c r="U64" s="7"/>
      <c r="V64" s="7"/>
      <c r="W64" s="7"/>
      <c r="X64" s="7"/>
      <c r="Y64" s="7"/>
      <c r="Z64" s="7"/>
    </row>
    <row r="65" ht="14.25" customHeight="1">
      <c r="A65" s="137">
        <v>2.1</v>
      </c>
      <c r="B65" s="7" t="s">
        <v>403</v>
      </c>
      <c r="C65" s="7"/>
      <c r="D65" s="7"/>
      <c r="E65" s="7"/>
      <c r="F65" s="7"/>
      <c r="G65" s="7"/>
      <c r="H65" s="7"/>
      <c r="I65" s="7"/>
      <c r="J65" s="7"/>
      <c r="K65" s="7"/>
      <c r="L65" s="7"/>
      <c r="M65" s="7"/>
      <c r="N65" s="7"/>
      <c r="O65" s="7"/>
      <c r="P65" s="7"/>
      <c r="Q65" s="7"/>
      <c r="R65" s="7"/>
      <c r="S65" s="7"/>
      <c r="T65" s="7"/>
      <c r="U65" s="7"/>
      <c r="V65" s="7"/>
      <c r="W65" s="7"/>
      <c r="X65" s="7"/>
      <c r="Y65" s="7"/>
      <c r="Z65" s="7"/>
    </row>
    <row r="66" ht="14.25" customHeight="1">
      <c r="A66" s="137">
        <v>2.2</v>
      </c>
      <c r="B66" s="7" t="s">
        <v>403</v>
      </c>
      <c r="C66" s="7"/>
      <c r="D66" s="7"/>
      <c r="E66" s="7"/>
      <c r="F66" s="7"/>
      <c r="G66" s="7"/>
      <c r="H66" s="7"/>
      <c r="I66" s="7"/>
      <c r="J66" s="7"/>
      <c r="K66" s="7"/>
      <c r="L66" s="7"/>
      <c r="M66" s="7"/>
      <c r="N66" s="7"/>
      <c r="O66" s="7"/>
      <c r="P66" s="7"/>
      <c r="Q66" s="7"/>
      <c r="R66" s="7"/>
      <c r="S66" s="7"/>
      <c r="T66" s="7"/>
      <c r="U66" s="7"/>
      <c r="V66" s="7"/>
      <c r="W66" s="7"/>
      <c r="X66" s="7"/>
      <c r="Y66" s="7"/>
      <c r="Z66" s="7"/>
    </row>
    <row r="67" ht="14.25" customHeight="1">
      <c r="A67" s="137">
        <v>2.3</v>
      </c>
      <c r="B67" s="7" t="s">
        <v>403</v>
      </c>
      <c r="C67" s="7"/>
      <c r="D67" s="7"/>
      <c r="E67" s="7"/>
      <c r="F67" s="7"/>
      <c r="G67" s="7"/>
      <c r="H67" s="7"/>
      <c r="I67" s="7"/>
      <c r="J67" s="7"/>
      <c r="K67" s="7"/>
      <c r="L67" s="7"/>
      <c r="M67" s="7"/>
      <c r="N67" s="7"/>
      <c r="O67" s="7"/>
      <c r="P67" s="7"/>
      <c r="Q67" s="7"/>
      <c r="R67" s="7"/>
      <c r="S67" s="7"/>
      <c r="T67" s="7"/>
      <c r="U67" s="7"/>
      <c r="V67" s="7"/>
      <c r="W67" s="7"/>
      <c r="X67" s="7"/>
      <c r="Y67" s="7"/>
      <c r="Z67" s="7"/>
    </row>
    <row r="68" ht="14.25" customHeight="1">
      <c r="A68" s="134">
        <v>2.4</v>
      </c>
      <c r="B68" s="7" t="s">
        <v>404</v>
      </c>
      <c r="C68" s="7"/>
      <c r="D68" s="7"/>
      <c r="E68" s="7"/>
      <c r="F68" s="7"/>
      <c r="G68" s="7"/>
      <c r="H68" s="7"/>
      <c r="I68" s="7"/>
      <c r="J68" s="7"/>
      <c r="K68" s="7"/>
      <c r="L68" s="7"/>
      <c r="M68" s="7"/>
      <c r="N68" s="7"/>
      <c r="O68" s="7"/>
      <c r="P68" s="7"/>
      <c r="Q68" s="7"/>
      <c r="R68" s="7"/>
      <c r="S68" s="7"/>
      <c r="T68" s="7"/>
      <c r="U68" s="7"/>
      <c r="V68" s="7"/>
      <c r="W68" s="7"/>
      <c r="X68" s="7"/>
      <c r="Y68" s="7"/>
      <c r="Z68" s="7"/>
    </row>
    <row r="69" ht="14.25" customHeight="1">
      <c r="A69" s="134">
        <v>2.5</v>
      </c>
      <c r="B69" s="7" t="s">
        <v>404</v>
      </c>
      <c r="C69" s="7"/>
      <c r="D69" s="7"/>
      <c r="E69" s="7"/>
      <c r="F69" s="7"/>
      <c r="G69" s="7"/>
      <c r="H69" s="7"/>
      <c r="I69" s="7"/>
      <c r="J69" s="7"/>
      <c r="K69" s="7"/>
      <c r="L69" s="7"/>
      <c r="M69" s="7"/>
      <c r="N69" s="7"/>
      <c r="O69" s="7"/>
      <c r="P69" s="7"/>
      <c r="Q69" s="7"/>
      <c r="R69" s="7"/>
      <c r="S69" s="7"/>
      <c r="T69" s="7"/>
      <c r="U69" s="7"/>
      <c r="V69" s="7"/>
      <c r="W69" s="7"/>
      <c r="X69" s="7"/>
      <c r="Y69" s="7"/>
      <c r="Z69" s="7"/>
    </row>
    <row r="70" ht="14.25" customHeight="1">
      <c r="A70" s="134">
        <v>2.6</v>
      </c>
      <c r="B70" s="7" t="s">
        <v>404</v>
      </c>
      <c r="C70" s="7"/>
      <c r="D70" s="7"/>
      <c r="E70" s="7"/>
      <c r="F70" s="7"/>
      <c r="G70" s="7"/>
      <c r="H70" s="7"/>
      <c r="I70" s="7"/>
      <c r="J70" s="7"/>
      <c r="K70" s="7"/>
      <c r="L70" s="7"/>
      <c r="M70" s="7"/>
      <c r="N70" s="7"/>
      <c r="O70" s="7"/>
      <c r="P70" s="7"/>
      <c r="Q70" s="7"/>
      <c r="R70" s="7"/>
      <c r="S70" s="7"/>
      <c r="T70" s="7"/>
      <c r="U70" s="7"/>
      <c r="V70" s="7"/>
      <c r="W70" s="7"/>
      <c r="X70" s="7"/>
      <c r="Y70" s="7"/>
      <c r="Z70" s="7"/>
    </row>
    <row r="71" ht="14.25" customHeight="1">
      <c r="A71" s="134">
        <v>2.7</v>
      </c>
      <c r="B71" s="7" t="s">
        <v>404</v>
      </c>
      <c r="C71" s="7"/>
      <c r="D71" s="7"/>
      <c r="E71" s="7"/>
      <c r="F71" s="7"/>
      <c r="G71" s="7"/>
      <c r="H71" s="7"/>
      <c r="I71" s="7"/>
      <c r="J71" s="7"/>
      <c r="K71" s="7"/>
      <c r="L71" s="7"/>
      <c r="M71" s="7"/>
      <c r="N71" s="7"/>
      <c r="O71" s="7"/>
      <c r="P71" s="7"/>
      <c r="Q71" s="7"/>
      <c r="R71" s="7"/>
      <c r="S71" s="7"/>
      <c r="T71" s="7"/>
      <c r="U71" s="7"/>
      <c r="V71" s="7"/>
      <c r="W71" s="7"/>
      <c r="X71" s="7"/>
      <c r="Y71" s="7"/>
      <c r="Z71" s="7"/>
    </row>
    <row r="72" ht="14.25" customHeight="1">
      <c r="A72" s="134">
        <v>2.8</v>
      </c>
      <c r="B72" s="7" t="s">
        <v>404</v>
      </c>
      <c r="C72" s="7"/>
      <c r="D72" s="7"/>
      <c r="E72" s="7"/>
      <c r="F72" s="7"/>
      <c r="G72" s="7"/>
      <c r="H72" s="7"/>
      <c r="I72" s="7"/>
      <c r="J72" s="7"/>
      <c r="K72" s="7"/>
      <c r="L72" s="7"/>
      <c r="M72" s="7"/>
      <c r="N72" s="7"/>
      <c r="O72" s="7"/>
      <c r="P72" s="7"/>
      <c r="Q72" s="7"/>
      <c r="R72" s="7"/>
      <c r="S72" s="7"/>
      <c r="T72" s="7"/>
      <c r="U72" s="7"/>
      <c r="V72" s="7"/>
      <c r="W72" s="7"/>
      <c r="X72" s="7"/>
      <c r="Y72" s="7"/>
      <c r="Z72" s="7"/>
    </row>
    <row r="73" ht="14.25" customHeight="1">
      <c r="A73" s="134">
        <v>2.9</v>
      </c>
      <c r="B73" s="7" t="s">
        <v>404</v>
      </c>
      <c r="C73" s="7"/>
      <c r="D73" s="7"/>
      <c r="E73" s="7"/>
      <c r="F73" s="7"/>
      <c r="G73" s="7"/>
      <c r="H73" s="7"/>
      <c r="I73" s="7"/>
      <c r="J73" s="7"/>
      <c r="K73" s="7"/>
      <c r="L73" s="7"/>
      <c r="M73" s="7"/>
      <c r="N73" s="7"/>
      <c r="O73" s="7"/>
      <c r="P73" s="7"/>
      <c r="Q73" s="7"/>
      <c r="R73" s="7"/>
      <c r="S73" s="7"/>
      <c r="T73" s="7"/>
      <c r="U73" s="7"/>
      <c r="V73" s="7"/>
      <c r="W73" s="7"/>
      <c r="X73" s="7"/>
      <c r="Y73" s="7"/>
      <c r="Z73" s="7"/>
    </row>
    <row r="74" ht="14.25" customHeight="1">
      <c r="A74" s="134">
        <v>3.0</v>
      </c>
      <c r="B74" s="7" t="s">
        <v>404</v>
      </c>
      <c r="C74" s="7"/>
      <c r="D74" s="7"/>
      <c r="E74" s="7"/>
      <c r="F74" s="7"/>
      <c r="G74" s="7"/>
      <c r="H74" s="7"/>
      <c r="I74" s="7"/>
      <c r="J74" s="7"/>
      <c r="K74" s="7"/>
      <c r="L74" s="7"/>
      <c r="M74" s="7"/>
      <c r="N74" s="7"/>
      <c r="O74" s="7"/>
      <c r="P74" s="7"/>
      <c r="Q74" s="7"/>
      <c r="R74" s="7"/>
      <c r="S74" s="7"/>
      <c r="T74" s="7"/>
      <c r="U74" s="7"/>
      <c r="V74" s="7"/>
      <c r="W74" s="7"/>
      <c r="X74" s="7"/>
      <c r="Y74" s="7"/>
      <c r="Z74" s="7"/>
    </row>
    <row r="75" ht="14.25" customHeight="1">
      <c r="A75" s="134">
        <v>3.1</v>
      </c>
      <c r="B75" s="7" t="s">
        <v>404</v>
      </c>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134">
        <v>3.2</v>
      </c>
      <c r="B76" s="7" t="s">
        <v>404</v>
      </c>
      <c r="C76" s="7"/>
      <c r="D76" s="7"/>
      <c r="E76" s="7"/>
      <c r="F76" s="7"/>
      <c r="G76" s="7"/>
      <c r="H76" s="7"/>
      <c r="I76" s="7"/>
      <c r="J76" s="7"/>
      <c r="K76" s="7"/>
      <c r="L76" s="7"/>
      <c r="M76" s="7"/>
      <c r="N76" s="7"/>
      <c r="O76" s="7"/>
      <c r="P76" s="7"/>
      <c r="Q76" s="7"/>
      <c r="R76" s="7"/>
      <c r="S76" s="7"/>
      <c r="T76" s="7"/>
      <c r="U76" s="7"/>
      <c r="V76" s="7"/>
      <c r="W76" s="7"/>
      <c r="X76" s="7"/>
      <c r="Y76" s="7"/>
      <c r="Z76" s="7"/>
    </row>
    <row r="77" ht="14.25" customHeight="1">
      <c r="A77" s="134">
        <v>3.3</v>
      </c>
      <c r="B77" s="7" t="s">
        <v>404</v>
      </c>
      <c r="C77" s="7"/>
      <c r="D77" s="7"/>
      <c r="E77" s="7"/>
      <c r="F77" s="7"/>
      <c r="G77" s="7"/>
      <c r="H77" s="7"/>
      <c r="I77" s="7"/>
      <c r="J77" s="7"/>
      <c r="K77" s="7"/>
      <c r="L77" s="7"/>
      <c r="M77" s="7"/>
      <c r="N77" s="7"/>
      <c r="O77" s="7"/>
      <c r="P77" s="7"/>
      <c r="Q77" s="7"/>
      <c r="R77" s="7"/>
      <c r="S77" s="7"/>
      <c r="T77" s="7"/>
      <c r="U77" s="7"/>
      <c r="V77" s="7"/>
      <c r="W77" s="7"/>
      <c r="X77" s="7"/>
      <c r="Y77" s="7"/>
      <c r="Z77" s="7"/>
    </row>
    <row r="78" ht="14.25" customHeight="1">
      <c r="A78" s="134">
        <v>3.4</v>
      </c>
      <c r="B78" s="7" t="s">
        <v>404</v>
      </c>
      <c r="C78" s="7"/>
      <c r="D78" s="7"/>
      <c r="E78" s="7"/>
      <c r="F78" s="7"/>
      <c r="G78" s="7"/>
      <c r="H78" s="7"/>
      <c r="I78" s="7"/>
      <c r="J78" s="7"/>
      <c r="K78" s="7"/>
      <c r="L78" s="7"/>
      <c r="M78" s="7"/>
      <c r="N78" s="7"/>
      <c r="O78" s="7"/>
      <c r="P78" s="7"/>
      <c r="Q78" s="7"/>
      <c r="R78" s="7"/>
      <c r="S78" s="7"/>
      <c r="T78" s="7"/>
      <c r="U78" s="7"/>
      <c r="V78" s="7"/>
      <c r="W78" s="7"/>
      <c r="X78" s="7"/>
      <c r="Y78" s="7"/>
      <c r="Z78" s="7"/>
    </row>
    <row r="79" ht="14.25" customHeight="1">
      <c r="A79" s="138">
        <v>3.5</v>
      </c>
      <c r="B79" s="7" t="s">
        <v>226</v>
      </c>
      <c r="C79" s="7"/>
      <c r="D79" s="7"/>
      <c r="E79" s="7"/>
      <c r="F79" s="7"/>
      <c r="G79" s="7"/>
      <c r="H79" s="7"/>
      <c r="I79" s="7"/>
      <c r="J79" s="7"/>
      <c r="K79" s="7"/>
      <c r="L79" s="7"/>
      <c r="M79" s="7"/>
      <c r="N79" s="7"/>
      <c r="O79" s="7"/>
      <c r="P79" s="7"/>
      <c r="Q79" s="7"/>
      <c r="R79" s="7"/>
      <c r="S79" s="7"/>
      <c r="T79" s="7"/>
      <c r="U79" s="7"/>
      <c r="V79" s="7"/>
      <c r="W79" s="7"/>
      <c r="X79" s="7"/>
      <c r="Y79" s="7"/>
      <c r="Z79" s="7"/>
    </row>
    <row r="80" ht="14.25" customHeight="1">
      <c r="A80" s="138">
        <v>3.6</v>
      </c>
      <c r="B80" s="7" t="s">
        <v>226</v>
      </c>
      <c r="C80" s="7"/>
      <c r="D80" s="7"/>
      <c r="E80" s="7"/>
      <c r="F80" s="7"/>
      <c r="G80" s="7"/>
      <c r="H80" s="7"/>
      <c r="I80" s="7"/>
      <c r="J80" s="7"/>
      <c r="K80" s="7"/>
      <c r="L80" s="7"/>
      <c r="M80" s="7"/>
      <c r="N80" s="7"/>
      <c r="O80" s="7"/>
      <c r="P80" s="7"/>
      <c r="Q80" s="7"/>
      <c r="R80" s="7"/>
      <c r="S80" s="7"/>
      <c r="T80" s="7"/>
      <c r="U80" s="7"/>
      <c r="V80" s="7"/>
      <c r="W80" s="7"/>
      <c r="X80" s="7"/>
      <c r="Y80" s="7"/>
      <c r="Z80" s="7"/>
    </row>
    <row r="81" ht="14.25" customHeight="1">
      <c r="A81" s="138">
        <v>3.7</v>
      </c>
      <c r="B81" s="7" t="s">
        <v>226</v>
      </c>
      <c r="C81" s="7"/>
      <c r="D81" s="7"/>
      <c r="E81" s="7"/>
      <c r="F81" s="7"/>
      <c r="G81" s="7"/>
      <c r="H81" s="7"/>
      <c r="I81" s="7"/>
      <c r="J81" s="7"/>
      <c r="K81" s="7"/>
      <c r="L81" s="7"/>
      <c r="M81" s="7"/>
      <c r="N81" s="7"/>
      <c r="O81" s="7"/>
      <c r="P81" s="7"/>
      <c r="Q81" s="7"/>
      <c r="R81" s="7"/>
      <c r="S81" s="7"/>
      <c r="T81" s="7"/>
      <c r="U81" s="7"/>
      <c r="V81" s="7"/>
      <c r="W81" s="7"/>
      <c r="X81" s="7"/>
      <c r="Y81" s="7"/>
      <c r="Z81" s="7"/>
    </row>
    <row r="82" ht="14.25" customHeight="1">
      <c r="A82" s="138">
        <v>3.8</v>
      </c>
      <c r="B82" s="7" t="s">
        <v>226</v>
      </c>
      <c r="C82" s="7"/>
      <c r="D82" s="7"/>
      <c r="E82" s="7"/>
      <c r="F82" s="7"/>
      <c r="G82" s="7"/>
      <c r="H82" s="7"/>
      <c r="I82" s="7"/>
      <c r="J82" s="7"/>
      <c r="K82" s="7"/>
      <c r="L82" s="7"/>
      <c r="M82" s="7"/>
      <c r="N82" s="7"/>
      <c r="O82" s="7"/>
      <c r="P82" s="7"/>
      <c r="Q82" s="7"/>
      <c r="R82" s="7"/>
      <c r="S82" s="7"/>
      <c r="T82" s="7"/>
      <c r="U82" s="7"/>
      <c r="V82" s="7"/>
      <c r="W82" s="7"/>
      <c r="X82" s="7"/>
      <c r="Y82" s="7"/>
      <c r="Z82" s="7"/>
    </row>
    <row r="83" ht="14.25" customHeight="1">
      <c r="A83" s="138">
        <v>3.9</v>
      </c>
      <c r="B83" s="7" t="s">
        <v>226</v>
      </c>
      <c r="C83" s="7"/>
      <c r="D83" s="7"/>
      <c r="E83" s="7"/>
      <c r="F83" s="7"/>
      <c r="G83" s="7"/>
      <c r="H83" s="7"/>
      <c r="I83" s="7"/>
      <c r="J83" s="7"/>
      <c r="K83" s="7"/>
      <c r="L83" s="7"/>
      <c r="M83" s="7"/>
      <c r="N83" s="7"/>
      <c r="O83" s="7"/>
      <c r="P83" s="7"/>
      <c r="Q83" s="7"/>
      <c r="R83" s="7"/>
      <c r="S83" s="7"/>
      <c r="T83" s="7"/>
      <c r="U83" s="7"/>
      <c r="V83" s="7"/>
      <c r="W83" s="7"/>
      <c r="X83" s="7"/>
      <c r="Y83" s="7"/>
      <c r="Z83" s="7"/>
    </row>
    <row r="84" ht="14.25" customHeight="1">
      <c r="A84" s="138">
        <v>4.0</v>
      </c>
      <c r="B84" s="7" t="s">
        <v>226</v>
      </c>
      <c r="C84" s="7"/>
      <c r="D84" s="7"/>
      <c r="E84" s="7"/>
      <c r="F84" s="7"/>
      <c r="G84" s="7"/>
      <c r="H84" s="7"/>
      <c r="I84" s="7"/>
      <c r="J84" s="7"/>
      <c r="K84" s="7"/>
      <c r="L84" s="7"/>
      <c r="M84" s="7"/>
      <c r="N84" s="7"/>
      <c r="O84" s="7"/>
      <c r="P84" s="7"/>
      <c r="Q84" s="7"/>
      <c r="R84" s="7"/>
      <c r="S84" s="7"/>
      <c r="T84" s="7"/>
      <c r="U84" s="7"/>
      <c r="V84" s="7"/>
      <c r="W84" s="7"/>
      <c r="X84" s="7"/>
      <c r="Y84" s="7"/>
      <c r="Z84" s="7"/>
    </row>
    <row r="85" ht="14.2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4.2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4.2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4.2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4.2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4.2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4.2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4.2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4.2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4.2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4.2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4.2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4.2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4.2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4.2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4.2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4.2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4.2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4.2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4.2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4.2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4.2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4.2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4.2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22">
    <mergeCell ref="A1:J1"/>
    <mergeCell ref="A4:A5"/>
    <mergeCell ref="B4:B5"/>
    <mergeCell ref="A9:A11"/>
    <mergeCell ref="B9:B11"/>
    <mergeCell ref="A13:A16"/>
    <mergeCell ref="B13:B16"/>
    <mergeCell ref="A32:A35"/>
    <mergeCell ref="A36:A38"/>
    <mergeCell ref="A40:A42"/>
    <mergeCell ref="A44:A46"/>
    <mergeCell ref="B36:B38"/>
    <mergeCell ref="B40:B42"/>
    <mergeCell ref="B44:B46"/>
    <mergeCell ref="A52:J52"/>
    <mergeCell ref="A18:A20"/>
    <mergeCell ref="B18:B20"/>
    <mergeCell ref="A22:A25"/>
    <mergeCell ref="B22:B25"/>
    <mergeCell ref="A27:A30"/>
    <mergeCell ref="B27:B30"/>
    <mergeCell ref="B32:B35"/>
  </mergeCells>
  <conditionalFormatting sqref="G25">
    <cfRule type="cellIs" dxfId="9" priority="1" operator="equal">
      <formula>3</formula>
    </cfRule>
  </conditionalFormatting>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sheetPr>
  <sheetViews>
    <sheetView showGridLines="0" workbookViewId="0"/>
  </sheetViews>
  <sheetFormatPr customHeight="1" defaultColWidth="14.43" defaultRowHeight="15.0"/>
  <cols>
    <col customWidth="1" min="1" max="26" width="8.71"/>
  </cols>
  <sheetData>
    <row r="1" ht="31.5" customHeight="1">
      <c r="A1" s="7"/>
      <c r="B1" s="7"/>
      <c r="C1" s="57"/>
      <c r="D1" s="57"/>
      <c r="E1" s="164"/>
      <c r="F1" s="164"/>
      <c r="G1" s="164"/>
      <c r="H1" s="2" t="s">
        <v>405</v>
      </c>
      <c r="N1" s="57"/>
      <c r="O1" s="7"/>
      <c r="P1" s="7"/>
      <c r="Q1" s="7"/>
      <c r="R1" s="7"/>
      <c r="S1" s="7"/>
      <c r="T1" s="7"/>
      <c r="U1" s="7"/>
      <c r="V1" s="7"/>
      <c r="W1" s="7"/>
      <c r="X1" s="7"/>
      <c r="Y1" s="7"/>
      <c r="Z1" s="7"/>
    </row>
    <row r="2" ht="14.25" customHeight="1">
      <c r="A2" s="117"/>
      <c r="B2" s="117"/>
      <c r="C2" s="58"/>
      <c r="D2" s="58"/>
      <c r="E2" s="165"/>
      <c r="F2" s="165"/>
      <c r="G2" s="165"/>
      <c r="N2" s="58"/>
      <c r="O2" s="117"/>
      <c r="P2" s="117"/>
      <c r="Q2" s="117"/>
      <c r="R2" s="117"/>
      <c r="S2" s="117"/>
      <c r="T2" s="117"/>
      <c r="U2" s="117"/>
      <c r="V2" s="117"/>
      <c r="W2" s="117"/>
      <c r="X2" s="117"/>
      <c r="Y2" s="117"/>
      <c r="Z2" s="117"/>
    </row>
    <row r="3" ht="8.25" customHeight="1">
      <c r="A3" s="117"/>
      <c r="B3" s="117"/>
      <c r="C3" s="58"/>
      <c r="D3" s="58"/>
      <c r="E3" s="165"/>
      <c r="F3" s="165"/>
      <c r="G3" s="165"/>
      <c r="H3" s="165"/>
      <c r="I3" s="165"/>
      <c r="J3" s="165"/>
      <c r="K3" s="165"/>
      <c r="L3" s="165"/>
      <c r="M3" s="165"/>
      <c r="N3" s="58"/>
      <c r="O3" s="117"/>
      <c r="P3" s="117"/>
      <c r="Q3" s="117"/>
      <c r="R3" s="117"/>
      <c r="S3" s="117"/>
      <c r="T3" s="117"/>
      <c r="U3" s="117"/>
      <c r="V3" s="117"/>
      <c r="W3" s="117"/>
      <c r="X3" s="117"/>
      <c r="Y3" s="117"/>
      <c r="Z3" s="117"/>
    </row>
    <row r="4" ht="14.25" customHeight="1">
      <c r="A4" s="58"/>
      <c r="B4" s="58"/>
      <c r="C4" s="58"/>
      <c r="D4" s="58"/>
      <c r="E4" s="58"/>
      <c r="F4" s="58"/>
      <c r="G4" s="58"/>
      <c r="H4" s="58"/>
      <c r="I4" s="58"/>
      <c r="J4" s="58"/>
      <c r="K4" s="58"/>
      <c r="L4" s="58"/>
      <c r="M4" s="58"/>
      <c r="N4" s="58"/>
      <c r="O4" s="7"/>
      <c r="P4" s="7"/>
      <c r="Q4" s="7"/>
      <c r="R4" s="7"/>
      <c r="S4" s="7"/>
      <c r="T4" s="7"/>
      <c r="U4" s="7"/>
      <c r="V4" s="7"/>
      <c r="W4" s="7"/>
      <c r="X4" s="7"/>
      <c r="Y4" s="7"/>
      <c r="Z4" s="7"/>
    </row>
    <row r="5" ht="14.25" customHeight="1">
      <c r="A5" s="7"/>
      <c r="B5" s="51" t="s">
        <v>64</v>
      </c>
      <c r="E5" s="8" t="s">
        <v>65</v>
      </c>
      <c r="N5" s="7"/>
      <c r="O5" s="7"/>
      <c r="P5" s="7"/>
      <c r="Q5" s="7"/>
      <c r="R5" s="7"/>
      <c r="S5" s="7"/>
      <c r="T5" s="7"/>
      <c r="U5" s="7"/>
      <c r="V5" s="7"/>
      <c r="W5" s="7"/>
      <c r="X5" s="7"/>
      <c r="Y5" s="7"/>
      <c r="Z5" s="7"/>
    </row>
    <row r="6" ht="14.25" customHeight="1">
      <c r="A6" s="60"/>
      <c r="B6" s="82" t="str">
        <f>'Matrix - Part 4'!I57</f>
        <v>0</v>
      </c>
      <c r="E6" s="83" t="str">
        <f>VLOOKUP(B6,'Matrix - Part 4'!A55:B84,2,FALSE)</f>
        <v>#N/A</v>
      </c>
      <c r="F6" s="84"/>
      <c r="G6" s="84"/>
      <c r="H6" s="84"/>
      <c r="I6" s="84"/>
      <c r="J6" s="84"/>
      <c r="K6" s="84"/>
      <c r="L6" s="84"/>
      <c r="M6" s="85"/>
      <c r="N6" s="7"/>
      <c r="O6" s="7"/>
      <c r="P6" s="7"/>
      <c r="Q6" s="7"/>
      <c r="R6" s="7"/>
      <c r="S6" s="7"/>
      <c r="T6" s="7"/>
      <c r="U6" s="7"/>
      <c r="V6" s="7"/>
      <c r="W6" s="7"/>
      <c r="X6" s="7"/>
      <c r="Y6" s="7"/>
      <c r="Z6" s="7"/>
    </row>
    <row r="7" ht="14.25" customHeight="1">
      <c r="A7" s="60"/>
      <c r="E7" s="86"/>
      <c r="M7" s="87"/>
      <c r="N7" s="7"/>
      <c r="O7" s="7"/>
      <c r="P7" s="7"/>
      <c r="Q7" s="7"/>
      <c r="R7" s="7"/>
      <c r="S7" s="7"/>
      <c r="T7" s="7"/>
      <c r="U7" s="7"/>
      <c r="V7" s="7"/>
      <c r="W7" s="7"/>
      <c r="X7" s="7"/>
      <c r="Y7" s="7"/>
      <c r="Z7" s="7"/>
    </row>
    <row r="8" ht="14.25" customHeight="1">
      <c r="A8" s="60"/>
      <c r="E8" s="88"/>
      <c r="F8" s="89"/>
      <c r="G8" s="89"/>
      <c r="H8" s="89"/>
      <c r="I8" s="89"/>
      <c r="J8" s="89"/>
      <c r="K8" s="89"/>
      <c r="L8" s="89"/>
      <c r="M8" s="90"/>
      <c r="N8" s="7"/>
      <c r="O8" s="7"/>
      <c r="P8" s="7"/>
      <c r="Q8" s="7"/>
      <c r="R8" s="7"/>
      <c r="S8" s="7"/>
      <c r="T8" s="7"/>
      <c r="U8" s="7"/>
      <c r="V8" s="7"/>
      <c r="W8" s="7"/>
      <c r="X8" s="7"/>
      <c r="Y8" s="7"/>
      <c r="Z8" s="7"/>
    </row>
    <row r="9" ht="14.25" customHeight="1">
      <c r="A9" s="60"/>
      <c r="B9" s="60"/>
      <c r="C9" s="60"/>
      <c r="D9" s="60"/>
      <c r="E9" s="80"/>
      <c r="F9" s="80"/>
      <c r="G9" s="80"/>
      <c r="H9" s="80"/>
      <c r="I9" s="80"/>
      <c r="J9" s="80"/>
      <c r="K9" s="80"/>
      <c r="L9" s="80"/>
      <c r="M9" s="80"/>
      <c r="N9" s="7"/>
      <c r="O9" s="7"/>
      <c r="P9" s="7"/>
      <c r="Q9" s="7"/>
      <c r="R9" s="7"/>
      <c r="S9" s="7"/>
      <c r="T9" s="7"/>
      <c r="U9" s="7"/>
      <c r="V9" s="7"/>
      <c r="W9" s="7"/>
      <c r="X9" s="7"/>
      <c r="Y9" s="7"/>
      <c r="Z9" s="7"/>
    </row>
    <row r="10" ht="14.25" customHeight="1">
      <c r="A10" s="60"/>
      <c r="B10" s="166" t="s">
        <v>66</v>
      </c>
      <c r="C10" s="14"/>
      <c r="D10" s="14"/>
      <c r="E10" s="15"/>
      <c r="F10" s="167" t="s">
        <v>67</v>
      </c>
      <c r="G10" s="14"/>
      <c r="H10" s="14"/>
      <c r="I10" s="15"/>
      <c r="J10" s="168" t="s">
        <v>68</v>
      </c>
      <c r="K10" s="14"/>
      <c r="L10" s="14"/>
      <c r="M10" s="15"/>
      <c r="N10" s="7"/>
      <c r="O10" s="7"/>
      <c r="P10" s="7"/>
      <c r="Q10" s="7"/>
      <c r="R10" s="7"/>
      <c r="S10" s="7"/>
      <c r="T10" s="7"/>
      <c r="U10" s="7"/>
      <c r="V10" s="7"/>
      <c r="W10" s="7"/>
      <c r="X10" s="7"/>
      <c r="Y10" s="7"/>
      <c r="Z10" s="7"/>
    </row>
    <row r="11" ht="15.0" customHeight="1">
      <c r="A11" s="7"/>
      <c r="B11" s="169" t="str">
        <f>TRIM(IFERROR(VLOOKUP('Matrix - Part 4'!I9,'Matrix - Part 4'!G11:H11,2,FALSE),"")&amp;CHAR(10)&amp;""&amp;CHAR(10)&amp;IFERROR(VLOOKUP('Matrix - Part 4'!I18,'Matrix - Part 4'!G19:H19,2,FALSE),"")&amp;CHAR(10)&amp;""&amp;CHAR(10)&amp;IFERROR(VLOOKUP('Matrix - Part 4'!I13,'Matrix - Part 4'!G13:H13,2,FALSE),"")&amp;CHAR(10)&amp;""&amp;CHAR(10)&amp;IFERROR(VLOOKUP('Matrix - Part 4'!I14,'Matrix - Part 4'!G13:H13,2,FALSE),"")&amp;CHAR(10)&amp;""&amp;CHAR(10)&amp;IFERROR(VLOOKUP('Matrix - Part 4'!I15,'Matrix - Part 4'!G13:H13,2,FALSE),"")&amp;CHAR(10)&amp;""&amp;CHAR(10)&amp;IFERROR(VLOOKUP('Matrix - Part 4'!I27,'Matrix - Part 4'!G30:H30,2,FALSE),"")&amp;CHAR(10)&amp;""&amp;CHAR(10)&amp;IFERROR(VLOOKUP('Matrix - Part 4'!I32,'Matrix - Part 4'!G34:H34,2,FALSE),"")&amp;CHAR(10)&amp;""&amp;CHAR(10)&amp;IFERROR(VLOOKUP('Matrix - Part 4'!I33,'Matrix - Part 4'!G34:H34,2,FALSE),"")&amp;CHAR(10)&amp;""&amp;CHAR(10)&amp;IFERROR(VLOOKUP('Matrix - Part 4'!I36,'Matrix - Part 4'!G38:H38,2,FALSE),"")&amp;CHAR(10)&amp;""&amp;CHAR(10)&amp;IFERROR(VLOOKUP('Matrix - Part 4'!I40,'Matrix - Part 4'!G42:H42,2,FALSE),"")&amp;CHAR(10)&amp;""&amp;CHAR(10)&amp;IFERROR(VLOOKUP('Matrix - Part 4'!I44,'Matrix - Part 4'!G46:H46,2,FALSE),""))</f>
        <v/>
      </c>
      <c r="C11" s="141"/>
      <c r="D11" s="141"/>
      <c r="E11" s="170"/>
      <c r="F11" s="140" t="str">
        <f>IFERROR(VLOOKUP('Matrix - Part 4'!I6,'Matrix - Part 4'!G5:H7,2,FALSE),"")&amp;CHAR(10)&amp;""&amp;CHAR(10)&amp;IFERROR(VLOOKUP('Matrix - Part 4'!I7,'Matrix - Part 4'!G5:H7,2,FALSE),"")&amp;CHAR(10)&amp;""&amp;CHAR(10)&amp;IFERROR(VLOOKUP('Matrix - Part 4'!I13,'Matrix - Part 4'!G15:H15,2,FALSE),"")&amp;CHAR(10)&amp;""&amp;CHAR(10)&amp;IFERROR(VLOOKUP('Matrix - Part 4'!I14,'Matrix - Part 4'!G15:H15,2,FALSE),"")&amp;CHAR(10)&amp;""&amp;CHAR(10)&amp;IFERROR(VLOOKUP('Matrix - Part 4'!I15,'Matrix - Part 4'!G15:H15,2,FALSE),"")&amp;CHAR(10)&amp;""&amp;CHAR(10)&amp;IFERROR(VLOOKUP('Matrix - Part 4'!I22,'Matrix - Part 4'!G25:H25,2,FALSE),"")&amp;CHAR(10)&amp;""&amp;CHAR(10)&amp;IFERROR(VLOOKUP('Matrix - Part 4'!I27,'Matrix - Part 4'!G29:H29,2,FALSE),"")&amp;CHAR(10)&amp;""&amp;CHAR(10)&amp;IFERROR(VLOOKUP('Matrix - Part 4'!I36,'Matrix - Part 4'!G37:H37,2,FALSE),"")</f>
        <v>
</v>
      </c>
      <c r="G11" s="141"/>
      <c r="H11" s="141"/>
      <c r="I11" s="142"/>
      <c r="J11" s="140" t="str">
        <f>IFERROR(VLOOKUP('Matrix - Part 4'!I5,'Matrix - Part 4'!G5:H7,2,FALSE),"")&amp;CHAR(10)&amp;""&amp;CHAR(10)&amp;IFERROR(VLOOKUP('Matrix - Part 4'!I9,'Matrix - Part 4'!G10:H10,2,FALSE),"")&amp;CHAR(10)&amp;""&amp;CHAR(10)&amp;IFERROR(VLOOKUP('Matrix - Part 4'!I18,'Matrix - Part 4'!G18:H18,2,FALSE),"")&amp;CHAR(10)&amp;""&amp;CHAR(10)&amp;IFERROR(VLOOKUP('Matrix - Part 4'!I13,'Matrix - Part 4'!G14:H14,2,FALSE),"")&amp;CHAR(10)&amp;""&amp;CHAR(10)&amp;IFERROR(VLOOKUP('Matrix - Part 4'!I14,'Matrix - Part 4'!G14:H14,2,FALSE),"")&amp;CHAR(10)&amp;""&amp;CHAR(10)&amp;IFERROR(VLOOKUP('Matrix - Part 4'!I15,'Matrix - Part 4'!G14:H14,2,FALSE),"")&amp;CHAR(10)&amp;""&amp;CHAR(10)&amp;IFERROR(VLOOKUP('Matrix - Part 4'!I22,'Matrix - Part 4'!G24:H24,2,FALSE),"")&amp;CHAR(10)&amp;""&amp;CHAR(10)&amp;IFERROR(VLOOKUP('Matrix - Part 4'!I27,'Matrix - Part 4'!G28:H28,2,FALSE),"")&amp;CHAR(10)&amp;""&amp;CHAR(10)&amp;IFERROR(VLOOKUP('Matrix - Part 4'!I32,'Matrix - Part 4'!G33:H33,2,FALSE),"")&amp;CHAR(10)&amp;""&amp;CHAR(10)&amp;IFERROR(VLOOKUP('Matrix - Part 4'!I33,'Matrix - Part 4'!G33:H33,2,FALSE),"")&amp;CHAR(10)&amp;""&amp;CHAR(10)&amp;IFERROR(VLOOKUP('Matrix - Part 4'!I34,'Matrix - Part 4'!G33:H33,2,FALSE),"")&amp;CHAR(10)&amp;""&amp;CHAR(10)&amp;IFERROR(VLOOKUP('Matrix - Part 4'!I40,'Matrix - Part 4'!G41:H41,2,FALSE),"")&amp;CHAR(10)&amp;""&amp;CHAR(10)&amp;IFERROR(VLOOKUP('Matrix - Part 4'!I44,'Matrix - Part 4'!G45:H45,2,FALSE),"")</f>
        <v>
</v>
      </c>
      <c r="K11" s="141"/>
      <c r="L11" s="141"/>
      <c r="M11" s="142"/>
      <c r="N11" s="7"/>
      <c r="O11" s="7"/>
      <c r="P11" s="7"/>
      <c r="Q11" s="7"/>
      <c r="R11" s="7"/>
      <c r="S11" s="7"/>
      <c r="T11" s="7"/>
      <c r="U11" s="7"/>
      <c r="V11" s="7"/>
      <c r="W11" s="7"/>
      <c r="X11" s="7"/>
      <c r="Y11" s="7"/>
      <c r="Z11" s="7"/>
    </row>
    <row r="12" ht="14.25" customHeight="1">
      <c r="A12" s="7"/>
      <c r="B12" s="86"/>
      <c r="E12" s="87"/>
      <c r="F12" s="143"/>
      <c r="I12" s="144"/>
      <c r="J12" s="143"/>
      <c r="M12" s="144"/>
      <c r="N12" s="7"/>
      <c r="O12" s="7"/>
      <c r="P12" s="7"/>
      <c r="Q12" s="7"/>
      <c r="R12" s="7"/>
      <c r="S12" s="7"/>
      <c r="T12" s="7"/>
      <c r="U12" s="7"/>
      <c r="V12" s="7"/>
      <c r="W12" s="7"/>
      <c r="X12" s="7"/>
      <c r="Y12" s="7"/>
      <c r="Z12" s="7"/>
    </row>
    <row r="13" ht="14.25" customHeight="1">
      <c r="A13" s="7"/>
      <c r="B13" s="86"/>
      <c r="E13" s="87"/>
      <c r="F13" s="143"/>
      <c r="I13" s="144"/>
      <c r="J13" s="143"/>
      <c r="M13" s="144"/>
      <c r="N13" s="7"/>
      <c r="O13" s="7"/>
      <c r="P13" s="7"/>
      <c r="Q13" s="7"/>
      <c r="R13" s="7"/>
      <c r="S13" s="7"/>
      <c r="T13" s="7"/>
      <c r="U13" s="7"/>
      <c r="V13" s="7"/>
      <c r="W13" s="7"/>
      <c r="X13" s="7"/>
      <c r="Y13" s="7"/>
      <c r="Z13" s="7"/>
    </row>
    <row r="14" ht="14.25" customHeight="1">
      <c r="A14" s="7"/>
      <c r="B14" s="86"/>
      <c r="E14" s="87"/>
      <c r="F14" s="143"/>
      <c r="I14" s="144"/>
      <c r="J14" s="143"/>
      <c r="M14" s="144"/>
      <c r="N14" s="7"/>
      <c r="O14" s="7"/>
      <c r="P14" s="7"/>
      <c r="Q14" s="7"/>
      <c r="R14" s="7"/>
      <c r="S14" s="7"/>
      <c r="T14" s="7"/>
      <c r="U14" s="7"/>
      <c r="V14" s="7"/>
      <c r="W14" s="7"/>
      <c r="X14" s="7"/>
      <c r="Y14" s="7"/>
      <c r="Z14" s="7"/>
    </row>
    <row r="15" ht="14.25" customHeight="1">
      <c r="A15" s="7"/>
      <c r="B15" s="86"/>
      <c r="E15" s="87"/>
      <c r="F15" s="143"/>
      <c r="I15" s="144"/>
      <c r="J15" s="143"/>
      <c r="M15" s="144"/>
      <c r="N15" s="7"/>
      <c r="O15" s="7"/>
      <c r="P15" s="7"/>
      <c r="Q15" s="7"/>
      <c r="R15" s="7"/>
      <c r="S15" s="7"/>
      <c r="T15" s="7"/>
      <c r="U15" s="7"/>
      <c r="V15" s="7"/>
      <c r="W15" s="7"/>
      <c r="X15" s="7"/>
      <c r="Y15" s="7"/>
      <c r="Z15" s="7"/>
    </row>
    <row r="16" ht="14.25" customHeight="1">
      <c r="A16" s="7"/>
      <c r="B16" s="86"/>
      <c r="E16" s="87"/>
      <c r="F16" s="143"/>
      <c r="I16" s="144"/>
      <c r="J16" s="143"/>
      <c r="M16" s="144"/>
      <c r="N16" s="7"/>
      <c r="O16" s="7"/>
      <c r="P16" s="7"/>
      <c r="Q16" s="7"/>
      <c r="R16" s="7"/>
      <c r="S16" s="7"/>
      <c r="T16" s="7"/>
      <c r="U16" s="7"/>
      <c r="V16" s="7"/>
      <c r="W16" s="7"/>
      <c r="X16" s="7"/>
      <c r="Y16" s="7"/>
      <c r="Z16" s="7"/>
    </row>
    <row r="17" ht="14.25" customHeight="1">
      <c r="A17" s="7"/>
      <c r="B17" s="86"/>
      <c r="E17" s="87"/>
      <c r="F17" s="143"/>
      <c r="I17" s="144"/>
      <c r="J17" s="143"/>
      <c r="M17" s="144"/>
      <c r="N17" s="7"/>
      <c r="O17" s="7"/>
      <c r="P17" s="7"/>
      <c r="Q17" s="7"/>
      <c r="R17" s="7"/>
      <c r="S17" s="7"/>
      <c r="T17" s="7"/>
      <c r="U17" s="7"/>
      <c r="V17" s="7"/>
      <c r="W17" s="7"/>
      <c r="X17" s="7"/>
      <c r="Y17" s="7"/>
      <c r="Z17" s="7"/>
    </row>
    <row r="18" ht="14.25" customHeight="1">
      <c r="A18" s="7"/>
      <c r="B18" s="86"/>
      <c r="E18" s="87"/>
      <c r="F18" s="143"/>
      <c r="I18" s="144"/>
      <c r="J18" s="143"/>
      <c r="M18" s="144"/>
      <c r="N18" s="7"/>
      <c r="O18" s="7"/>
      <c r="P18" s="7"/>
      <c r="Q18" s="7"/>
      <c r="R18" s="7"/>
      <c r="S18" s="7"/>
      <c r="T18" s="7"/>
      <c r="U18" s="7"/>
      <c r="V18" s="7"/>
      <c r="W18" s="7"/>
      <c r="X18" s="7"/>
      <c r="Y18" s="7"/>
      <c r="Z18" s="7"/>
    </row>
    <row r="19" ht="14.25" customHeight="1">
      <c r="A19" s="7"/>
      <c r="B19" s="86"/>
      <c r="E19" s="87"/>
      <c r="F19" s="143"/>
      <c r="I19" s="144"/>
      <c r="J19" s="143"/>
      <c r="M19" s="144"/>
      <c r="N19" s="7"/>
      <c r="O19" s="7"/>
      <c r="P19" s="7"/>
      <c r="Q19" s="7"/>
      <c r="R19" s="7"/>
      <c r="S19" s="7"/>
      <c r="T19" s="7"/>
      <c r="U19" s="7"/>
      <c r="V19" s="7"/>
      <c r="W19" s="7"/>
      <c r="X19" s="7"/>
      <c r="Y19" s="7"/>
      <c r="Z19" s="7"/>
    </row>
    <row r="20" ht="14.25" customHeight="1">
      <c r="A20" s="7"/>
      <c r="B20" s="86"/>
      <c r="E20" s="87"/>
      <c r="F20" s="143"/>
      <c r="I20" s="144"/>
      <c r="J20" s="143"/>
      <c r="M20" s="144"/>
      <c r="N20" s="7"/>
      <c r="O20" s="7"/>
      <c r="P20" s="7"/>
      <c r="Q20" s="7"/>
      <c r="R20" s="7"/>
      <c r="S20" s="7"/>
      <c r="T20" s="7"/>
      <c r="U20" s="7"/>
      <c r="V20" s="7"/>
      <c r="W20" s="7"/>
      <c r="X20" s="7"/>
      <c r="Y20" s="7"/>
      <c r="Z20" s="7"/>
    </row>
    <row r="21" ht="14.25" customHeight="1">
      <c r="A21" s="7"/>
      <c r="B21" s="86"/>
      <c r="E21" s="87"/>
      <c r="F21" s="143"/>
      <c r="I21" s="144"/>
      <c r="J21" s="143"/>
      <c r="M21" s="144"/>
      <c r="N21" s="7"/>
      <c r="O21" s="7"/>
      <c r="P21" s="7"/>
      <c r="Q21" s="7"/>
      <c r="R21" s="7"/>
      <c r="S21" s="7"/>
      <c r="T21" s="7"/>
      <c r="U21" s="7"/>
      <c r="V21" s="7"/>
      <c r="W21" s="7"/>
      <c r="X21" s="7"/>
      <c r="Y21" s="7"/>
      <c r="Z21" s="7"/>
    </row>
    <row r="22" ht="14.25" customHeight="1">
      <c r="A22" s="7"/>
      <c r="B22" s="86"/>
      <c r="E22" s="87"/>
      <c r="F22" s="143"/>
      <c r="I22" s="144"/>
      <c r="J22" s="143"/>
      <c r="M22" s="144"/>
      <c r="N22" s="7"/>
      <c r="O22" s="7"/>
      <c r="P22" s="7"/>
      <c r="Q22" s="7"/>
      <c r="R22" s="7"/>
      <c r="S22" s="7"/>
      <c r="T22" s="7"/>
      <c r="U22" s="7"/>
      <c r="V22" s="7"/>
      <c r="W22" s="7"/>
      <c r="X22" s="7"/>
      <c r="Y22" s="7"/>
      <c r="Z22" s="7"/>
    </row>
    <row r="23" ht="14.25" customHeight="1">
      <c r="A23" s="7"/>
      <c r="B23" s="86"/>
      <c r="E23" s="87"/>
      <c r="F23" s="143"/>
      <c r="I23" s="144"/>
      <c r="J23" s="143"/>
      <c r="M23" s="144"/>
      <c r="N23" s="7"/>
      <c r="O23" s="7"/>
      <c r="P23" s="7"/>
      <c r="Q23" s="7"/>
      <c r="R23" s="7"/>
      <c r="S23" s="7"/>
      <c r="T23" s="7"/>
      <c r="U23" s="7"/>
      <c r="V23" s="7"/>
      <c r="W23" s="7"/>
      <c r="X23" s="7"/>
      <c r="Y23" s="7"/>
      <c r="Z23" s="7"/>
    </row>
    <row r="24" ht="14.25" customHeight="1">
      <c r="A24" s="7"/>
      <c r="B24" s="86"/>
      <c r="E24" s="87"/>
      <c r="F24" s="143"/>
      <c r="I24" s="144"/>
      <c r="J24" s="143"/>
      <c r="M24" s="144"/>
      <c r="N24" s="7"/>
      <c r="O24" s="7"/>
      <c r="P24" s="7"/>
      <c r="Q24" s="7"/>
      <c r="R24" s="7"/>
      <c r="S24" s="7"/>
      <c r="T24" s="7"/>
      <c r="U24" s="7"/>
      <c r="V24" s="7"/>
      <c r="W24" s="7"/>
      <c r="X24" s="7"/>
      <c r="Y24" s="7"/>
      <c r="Z24" s="7"/>
    </row>
    <row r="25" ht="14.25" customHeight="1">
      <c r="A25" s="7"/>
      <c r="B25" s="86"/>
      <c r="E25" s="87"/>
      <c r="F25" s="143"/>
      <c r="I25" s="144"/>
      <c r="J25" s="143"/>
      <c r="M25" s="144"/>
      <c r="N25" s="7"/>
      <c r="O25" s="7"/>
      <c r="P25" s="7"/>
      <c r="Q25" s="7"/>
      <c r="R25" s="7"/>
      <c r="S25" s="7"/>
      <c r="T25" s="7"/>
      <c r="U25" s="7"/>
      <c r="V25" s="7"/>
      <c r="W25" s="7"/>
      <c r="X25" s="7"/>
      <c r="Y25" s="7"/>
      <c r="Z25" s="7"/>
    </row>
    <row r="26" ht="14.25" customHeight="1">
      <c r="A26" s="7"/>
      <c r="B26" s="86"/>
      <c r="E26" s="87"/>
      <c r="F26" s="143"/>
      <c r="I26" s="144"/>
      <c r="J26" s="143"/>
      <c r="M26" s="144"/>
      <c r="N26" s="7"/>
      <c r="O26" s="7"/>
      <c r="P26" s="7"/>
      <c r="Q26" s="7"/>
      <c r="R26" s="7"/>
      <c r="S26" s="7"/>
      <c r="T26" s="7"/>
      <c r="U26" s="7"/>
      <c r="V26" s="7"/>
      <c r="W26" s="7"/>
      <c r="X26" s="7"/>
      <c r="Y26" s="7"/>
      <c r="Z26" s="7"/>
    </row>
    <row r="27" ht="14.25" customHeight="1">
      <c r="A27" s="7"/>
      <c r="B27" s="86"/>
      <c r="E27" s="87"/>
      <c r="F27" s="143"/>
      <c r="I27" s="144"/>
      <c r="J27" s="143"/>
      <c r="M27" s="144"/>
      <c r="N27" s="7"/>
      <c r="O27" s="7"/>
      <c r="P27" s="7"/>
      <c r="Q27" s="7"/>
      <c r="R27" s="7"/>
      <c r="S27" s="7"/>
      <c r="T27" s="7"/>
      <c r="U27" s="7"/>
      <c r="V27" s="7"/>
      <c r="W27" s="7"/>
      <c r="X27" s="7"/>
      <c r="Y27" s="7"/>
      <c r="Z27" s="7"/>
    </row>
    <row r="28" ht="14.25" customHeight="1">
      <c r="A28" s="7"/>
      <c r="B28" s="86"/>
      <c r="E28" s="87"/>
      <c r="F28" s="143"/>
      <c r="I28" s="144"/>
      <c r="J28" s="143"/>
      <c r="M28" s="144"/>
      <c r="N28" s="7"/>
      <c r="O28" s="7"/>
      <c r="P28" s="7"/>
      <c r="Q28" s="7"/>
      <c r="R28" s="7"/>
      <c r="S28" s="7"/>
      <c r="T28" s="7"/>
      <c r="U28" s="7"/>
      <c r="V28" s="7"/>
      <c r="W28" s="7"/>
      <c r="X28" s="7"/>
      <c r="Y28" s="7"/>
      <c r="Z28" s="7"/>
    </row>
    <row r="29" ht="14.25" customHeight="1">
      <c r="A29" s="7"/>
      <c r="B29" s="86"/>
      <c r="E29" s="87"/>
      <c r="F29" s="143"/>
      <c r="I29" s="144"/>
      <c r="J29" s="143"/>
      <c r="M29" s="144"/>
      <c r="N29" s="7"/>
      <c r="O29" s="7"/>
      <c r="P29" s="7"/>
      <c r="Q29" s="7"/>
      <c r="R29" s="7"/>
      <c r="S29" s="7"/>
      <c r="T29" s="7"/>
      <c r="U29" s="7"/>
      <c r="V29" s="7"/>
      <c r="W29" s="7"/>
      <c r="X29" s="7"/>
      <c r="Y29" s="7"/>
      <c r="Z29" s="7"/>
    </row>
    <row r="30" ht="14.25" customHeight="1">
      <c r="A30" s="7"/>
      <c r="B30" s="86"/>
      <c r="E30" s="87"/>
      <c r="F30" s="143"/>
      <c r="I30" s="144"/>
      <c r="J30" s="143"/>
      <c r="M30" s="144"/>
      <c r="N30" s="7"/>
      <c r="O30" s="7"/>
      <c r="P30" s="7"/>
      <c r="Q30" s="7"/>
      <c r="R30" s="7"/>
      <c r="S30" s="7"/>
      <c r="T30" s="7"/>
      <c r="U30" s="7"/>
      <c r="V30" s="7"/>
      <c r="W30" s="7"/>
      <c r="X30" s="7"/>
      <c r="Y30" s="7"/>
      <c r="Z30" s="7"/>
    </row>
    <row r="31" ht="14.25" customHeight="1">
      <c r="A31" s="7"/>
      <c r="B31" s="86"/>
      <c r="E31" s="87"/>
      <c r="F31" s="143"/>
      <c r="I31" s="144"/>
      <c r="J31" s="143"/>
      <c r="M31" s="144"/>
      <c r="N31" s="7"/>
      <c r="O31" s="7"/>
      <c r="P31" s="7"/>
      <c r="Q31" s="7"/>
      <c r="R31" s="7"/>
      <c r="S31" s="7"/>
      <c r="T31" s="7"/>
      <c r="U31" s="7"/>
      <c r="V31" s="7"/>
      <c r="W31" s="7"/>
      <c r="X31" s="7"/>
      <c r="Y31" s="7"/>
      <c r="Z31" s="7"/>
    </row>
    <row r="32" ht="14.25" customHeight="1">
      <c r="A32" s="7"/>
      <c r="B32" s="86"/>
      <c r="E32" s="87"/>
      <c r="F32" s="143"/>
      <c r="I32" s="144"/>
      <c r="J32" s="143"/>
      <c r="M32" s="144"/>
      <c r="N32" s="7"/>
      <c r="O32" s="7"/>
      <c r="P32" s="7"/>
      <c r="Q32" s="7"/>
      <c r="R32" s="7"/>
      <c r="S32" s="7"/>
      <c r="T32" s="7"/>
      <c r="U32" s="7"/>
      <c r="V32" s="7"/>
      <c r="W32" s="7"/>
      <c r="X32" s="7"/>
      <c r="Y32" s="7"/>
      <c r="Z32" s="7"/>
    </row>
    <row r="33" ht="14.25" customHeight="1">
      <c r="A33" s="7"/>
      <c r="B33" s="86"/>
      <c r="E33" s="87"/>
      <c r="F33" s="145"/>
      <c r="G33" s="146"/>
      <c r="H33" s="146"/>
      <c r="I33" s="147"/>
      <c r="J33" s="145"/>
      <c r="K33" s="146"/>
      <c r="L33" s="146"/>
      <c r="M33" s="147"/>
      <c r="N33" s="7"/>
      <c r="O33" s="7"/>
      <c r="P33" s="7"/>
      <c r="Q33" s="7"/>
      <c r="R33" s="7"/>
      <c r="S33" s="7"/>
      <c r="T33" s="7"/>
      <c r="U33" s="7"/>
      <c r="V33" s="7"/>
      <c r="W33" s="7"/>
      <c r="X33" s="7"/>
      <c r="Y33" s="7"/>
      <c r="Z33" s="7"/>
    </row>
    <row r="34" ht="14.25" customHeight="1">
      <c r="A34" s="7"/>
      <c r="B34" s="86"/>
      <c r="E34" s="87"/>
      <c r="F34" s="81"/>
      <c r="G34" s="81"/>
      <c r="H34" s="81"/>
      <c r="I34" s="81"/>
      <c r="J34" s="81"/>
      <c r="K34" s="81"/>
      <c r="L34" s="81"/>
      <c r="M34" s="81"/>
      <c r="N34" s="7"/>
      <c r="O34" s="7"/>
      <c r="P34" s="7"/>
      <c r="Q34" s="7"/>
      <c r="R34" s="7"/>
      <c r="S34" s="7"/>
      <c r="T34" s="7"/>
      <c r="U34" s="7"/>
      <c r="V34" s="7"/>
      <c r="W34" s="7"/>
      <c r="X34" s="7"/>
      <c r="Y34" s="7"/>
      <c r="Z34" s="7"/>
    </row>
    <row r="35" ht="14.25" customHeight="1">
      <c r="A35" s="7"/>
      <c r="B35" s="86"/>
      <c r="E35" s="87"/>
      <c r="F35" s="81"/>
      <c r="G35" s="81"/>
      <c r="H35" s="81"/>
      <c r="I35" s="81"/>
      <c r="J35" s="81"/>
      <c r="K35" s="81"/>
      <c r="L35" s="81"/>
      <c r="M35" s="81"/>
      <c r="N35" s="7"/>
      <c r="O35" s="7"/>
      <c r="P35" s="7"/>
      <c r="Q35" s="7"/>
      <c r="R35" s="7"/>
      <c r="S35" s="7"/>
      <c r="T35" s="7"/>
      <c r="U35" s="7"/>
      <c r="V35" s="7"/>
      <c r="W35" s="7"/>
      <c r="X35" s="7"/>
      <c r="Y35" s="7"/>
      <c r="Z35" s="7"/>
    </row>
    <row r="36" ht="14.25" customHeight="1">
      <c r="A36" s="7"/>
      <c r="B36" s="86"/>
      <c r="E36" s="87"/>
      <c r="F36" s="7"/>
      <c r="G36" s="7"/>
      <c r="H36" s="7"/>
      <c r="I36" s="7"/>
      <c r="J36" s="7"/>
      <c r="K36" s="7"/>
      <c r="L36" s="7"/>
      <c r="M36" s="7"/>
      <c r="N36" s="7"/>
      <c r="O36" s="7"/>
      <c r="P36" s="7"/>
      <c r="Q36" s="7"/>
      <c r="R36" s="7"/>
      <c r="S36" s="7"/>
      <c r="T36" s="7"/>
      <c r="U36" s="7"/>
      <c r="V36" s="7"/>
      <c r="W36" s="7"/>
      <c r="X36" s="7"/>
      <c r="Y36" s="7"/>
      <c r="Z36" s="7"/>
    </row>
    <row r="37" ht="14.25" customHeight="1">
      <c r="A37" s="7"/>
      <c r="B37" s="86"/>
      <c r="E37" s="87"/>
      <c r="F37" s="7"/>
      <c r="G37" s="7"/>
      <c r="H37" s="7"/>
      <c r="I37" s="7"/>
      <c r="J37" s="7"/>
      <c r="K37" s="7"/>
      <c r="L37" s="7"/>
      <c r="M37" s="7"/>
      <c r="N37" s="7"/>
      <c r="O37" s="7"/>
      <c r="P37" s="7"/>
      <c r="Q37" s="7"/>
      <c r="R37" s="7"/>
      <c r="S37" s="7"/>
      <c r="T37" s="7"/>
      <c r="U37" s="7"/>
      <c r="V37" s="7"/>
      <c r="W37" s="7"/>
      <c r="X37" s="7"/>
      <c r="Y37" s="7"/>
      <c r="Z37" s="7"/>
    </row>
    <row r="38" ht="14.25" customHeight="1">
      <c r="A38" s="7"/>
      <c r="B38" s="86"/>
      <c r="E38" s="87"/>
      <c r="F38" s="7"/>
      <c r="G38" s="7"/>
      <c r="H38" s="7"/>
      <c r="I38" s="7"/>
      <c r="J38" s="7"/>
      <c r="K38" s="7"/>
      <c r="L38" s="7"/>
      <c r="M38" s="7"/>
      <c r="N38" s="7"/>
      <c r="O38" s="7"/>
      <c r="P38" s="7"/>
      <c r="Q38" s="7"/>
      <c r="R38" s="7"/>
      <c r="S38" s="7"/>
      <c r="T38" s="7"/>
      <c r="U38" s="7"/>
      <c r="V38" s="7"/>
      <c r="W38" s="7"/>
      <c r="X38" s="7"/>
      <c r="Y38" s="7"/>
      <c r="Z38" s="7"/>
    </row>
    <row r="39" ht="14.25" customHeight="1">
      <c r="A39" s="7"/>
      <c r="B39" s="86"/>
      <c r="E39" s="87"/>
      <c r="F39" s="7"/>
      <c r="G39" s="7"/>
      <c r="H39" s="7"/>
      <c r="I39" s="7"/>
      <c r="J39" s="7"/>
      <c r="K39" s="7"/>
      <c r="L39" s="7"/>
      <c r="M39" s="7"/>
      <c r="N39" s="7"/>
      <c r="O39" s="7"/>
      <c r="P39" s="7"/>
      <c r="Q39" s="7"/>
      <c r="R39" s="7"/>
      <c r="S39" s="7"/>
      <c r="T39" s="7"/>
      <c r="U39" s="7"/>
      <c r="V39" s="7"/>
      <c r="W39" s="7"/>
      <c r="X39" s="7"/>
      <c r="Y39" s="7"/>
      <c r="Z39" s="7"/>
    </row>
    <row r="40" ht="14.25" customHeight="1">
      <c r="A40" s="7"/>
      <c r="B40" s="86"/>
      <c r="E40" s="87"/>
      <c r="F40" s="7"/>
      <c r="G40" s="7"/>
      <c r="H40" s="7"/>
      <c r="I40" s="7"/>
      <c r="J40" s="7"/>
      <c r="K40" s="7"/>
      <c r="L40" s="7"/>
      <c r="M40" s="7"/>
      <c r="N40" s="7"/>
      <c r="O40" s="7"/>
      <c r="P40" s="7"/>
      <c r="Q40" s="7"/>
      <c r="R40" s="7"/>
      <c r="S40" s="7"/>
      <c r="T40" s="7"/>
      <c r="U40" s="7"/>
      <c r="V40" s="7"/>
      <c r="W40" s="7"/>
      <c r="X40" s="7"/>
      <c r="Y40" s="7"/>
      <c r="Z40" s="7"/>
    </row>
    <row r="41" ht="14.25" customHeight="1">
      <c r="A41" s="7"/>
      <c r="B41" s="86"/>
      <c r="E41" s="87"/>
      <c r="F41" s="7"/>
      <c r="G41" s="7"/>
      <c r="H41" s="7"/>
      <c r="I41" s="7"/>
      <c r="J41" s="7"/>
      <c r="K41" s="7"/>
      <c r="L41" s="7"/>
      <c r="M41" s="7"/>
      <c r="N41" s="7"/>
      <c r="O41" s="7"/>
      <c r="P41" s="7"/>
      <c r="Q41" s="7"/>
      <c r="R41" s="7"/>
      <c r="S41" s="7"/>
      <c r="T41" s="7"/>
      <c r="U41" s="7"/>
      <c r="V41" s="7"/>
      <c r="W41" s="7"/>
      <c r="X41" s="7"/>
      <c r="Y41" s="7"/>
      <c r="Z41" s="7"/>
    </row>
    <row r="42" ht="14.25" customHeight="1">
      <c r="A42" s="7"/>
      <c r="B42" s="86"/>
      <c r="E42" s="87"/>
      <c r="F42" s="7"/>
      <c r="G42" s="7"/>
      <c r="H42" s="7"/>
      <c r="I42" s="7"/>
      <c r="J42" s="7"/>
      <c r="K42" s="7"/>
      <c r="L42" s="7"/>
      <c r="M42" s="7"/>
      <c r="N42" s="7"/>
      <c r="O42" s="7"/>
      <c r="P42" s="7"/>
      <c r="Q42" s="7"/>
      <c r="R42" s="7"/>
      <c r="S42" s="7"/>
      <c r="T42" s="7"/>
      <c r="U42" s="7"/>
      <c r="V42" s="7"/>
      <c r="W42" s="7"/>
      <c r="X42" s="7"/>
      <c r="Y42" s="7"/>
      <c r="Z42" s="7"/>
    </row>
    <row r="43" ht="14.25" customHeight="1">
      <c r="A43" s="7"/>
      <c r="B43" s="86"/>
      <c r="E43" s="87"/>
      <c r="F43" s="7"/>
      <c r="G43" s="7"/>
      <c r="H43" s="7"/>
      <c r="I43" s="7"/>
      <c r="J43" s="7"/>
      <c r="K43" s="7"/>
      <c r="L43" s="7"/>
      <c r="M43" s="7"/>
      <c r="N43" s="7"/>
      <c r="O43" s="7"/>
      <c r="P43" s="7"/>
      <c r="Q43" s="7"/>
      <c r="R43" s="7"/>
      <c r="S43" s="7"/>
      <c r="T43" s="7"/>
      <c r="U43" s="7"/>
      <c r="V43" s="7"/>
      <c r="W43" s="7"/>
      <c r="X43" s="7"/>
      <c r="Y43" s="7"/>
      <c r="Z43" s="7"/>
    </row>
    <row r="44" ht="14.25" customHeight="1">
      <c r="A44" s="7"/>
      <c r="B44" s="86"/>
      <c r="E44" s="87"/>
      <c r="F44" s="7"/>
      <c r="G44" s="7"/>
      <c r="H44" s="7"/>
      <c r="I44" s="7"/>
      <c r="J44" s="7"/>
      <c r="K44" s="7"/>
      <c r="L44" s="7"/>
      <c r="M44" s="7"/>
      <c r="N44" s="7"/>
      <c r="O44" s="7"/>
      <c r="P44" s="7"/>
      <c r="Q44" s="7"/>
      <c r="R44" s="7"/>
      <c r="S44" s="7"/>
      <c r="T44" s="7"/>
      <c r="U44" s="7"/>
      <c r="V44" s="7"/>
      <c r="W44" s="7"/>
      <c r="X44" s="7"/>
      <c r="Y44" s="7"/>
      <c r="Z44" s="7"/>
    </row>
    <row r="45" ht="14.25" customHeight="1">
      <c r="A45" s="7"/>
      <c r="B45" s="86"/>
      <c r="E45" s="87"/>
      <c r="F45" s="7"/>
      <c r="G45" s="7"/>
      <c r="H45" s="7"/>
      <c r="I45" s="7"/>
      <c r="J45" s="7"/>
      <c r="K45" s="7"/>
      <c r="L45" s="7"/>
      <c r="M45" s="7"/>
      <c r="N45" s="7"/>
      <c r="O45" s="7"/>
      <c r="P45" s="7"/>
      <c r="Q45" s="7"/>
      <c r="R45" s="7"/>
      <c r="S45" s="7"/>
      <c r="T45" s="7"/>
      <c r="U45" s="7"/>
      <c r="V45" s="7"/>
      <c r="W45" s="7"/>
      <c r="X45" s="7"/>
      <c r="Y45" s="7"/>
      <c r="Z45" s="7"/>
    </row>
    <row r="46" ht="14.25" customHeight="1">
      <c r="A46" s="7"/>
      <c r="B46" s="86"/>
      <c r="E46" s="87"/>
      <c r="F46" s="7"/>
      <c r="G46" s="7"/>
      <c r="H46" s="7"/>
      <c r="I46" s="7"/>
      <c r="J46" s="7"/>
      <c r="K46" s="7"/>
      <c r="L46" s="7"/>
      <c r="M46" s="7"/>
      <c r="N46" s="7"/>
      <c r="O46" s="7"/>
      <c r="P46" s="7"/>
      <c r="Q46" s="7"/>
      <c r="R46" s="7"/>
      <c r="S46" s="7"/>
      <c r="T46" s="7"/>
      <c r="U46" s="7"/>
      <c r="V46" s="7"/>
      <c r="W46" s="7"/>
      <c r="X46" s="7"/>
      <c r="Y46" s="7"/>
      <c r="Z46" s="7"/>
    </row>
    <row r="47" ht="14.25" customHeight="1">
      <c r="A47" s="7"/>
      <c r="B47" s="86"/>
      <c r="E47" s="87"/>
      <c r="F47" s="7"/>
      <c r="G47" s="7"/>
      <c r="H47" s="7"/>
      <c r="I47" s="7"/>
      <c r="J47" s="7"/>
      <c r="K47" s="7"/>
      <c r="L47" s="7"/>
      <c r="M47" s="7"/>
      <c r="N47" s="7"/>
      <c r="O47" s="7"/>
      <c r="P47" s="7"/>
      <c r="Q47" s="7"/>
      <c r="R47" s="7"/>
      <c r="S47" s="7"/>
      <c r="T47" s="7"/>
      <c r="U47" s="7"/>
      <c r="V47" s="7"/>
      <c r="W47" s="7"/>
      <c r="X47" s="7"/>
      <c r="Y47" s="7"/>
      <c r="Z47" s="7"/>
    </row>
    <row r="48" ht="14.25" customHeight="1">
      <c r="A48" s="7"/>
      <c r="B48" s="86"/>
      <c r="E48" s="87"/>
      <c r="F48" s="7"/>
      <c r="G48" s="7"/>
      <c r="H48" s="7"/>
      <c r="I48" s="7"/>
      <c r="J48" s="7"/>
      <c r="K48" s="7"/>
      <c r="L48" s="7"/>
      <c r="M48" s="7"/>
      <c r="N48" s="7"/>
      <c r="O48" s="7"/>
      <c r="P48" s="7"/>
      <c r="Q48" s="7"/>
      <c r="R48" s="7"/>
      <c r="S48" s="7"/>
      <c r="T48" s="7"/>
      <c r="U48" s="7"/>
      <c r="V48" s="7"/>
      <c r="W48" s="7"/>
      <c r="X48" s="7"/>
      <c r="Y48" s="7"/>
      <c r="Z48" s="7"/>
    </row>
    <row r="49" ht="14.25" customHeight="1">
      <c r="A49" s="7"/>
      <c r="B49" s="86"/>
      <c r="E49" s="87"/>
      <c r="F49" s="7"/>
      <c r="G49" s="7"/>
      <c r="H49" s="7"/>
      <c r="I49" s="7"/>
      <c r="J49" s="7"/>
      <c r="K49" s="7"/>
      <c r="L49" s="7"/>
      <c r="M49" s="7"/>
      <c r="N49" s="7"/>
      <c r="O49" s="7"/>
      <c r="P49" s="7"/>
      <c r="Q49" s="7"/>
      <c r="R49" s="7"/>
      <c r="S49" s="7"/>
      <c r="T49" s="7"/>
      <c r="U49" s="7"/>
      <c r="V49" s="7"/>
      <c r="W49" s="7"/>
      <c r="X49" s="7"/>
      <c r="Y49" s="7"/>
      <c r="Z49" s="7"/>
    </row>
    <row r="50" ht="14.25" customHeight="1">
      <c r="A50" s="7"/>
      <c r="B50" s="86"/>
      <c r="E50" s="87"/>
      <c r="F50" s="7"/>
      <c r="G50" s="7"/>
      <c r="H50" s="7"/>
      <c r="I50" s="7"/>
      <c r="J50" s="7"/>
      <c r="K50" s="7"/>
      <c r="L50" s="7"/>
      <c r="M50" s="7"/>
      <c r="N50" s="7"/>
      <c r="O50" s="7"/>
      <c r="P50" s="7"/>
      <c r="Q50" s="7"/>
      <c r="R50" s="7"/>
      <c r="S50" s="7"/>
      <c r="T50" s="7"/>
      <c r="U50" s="7"/>
      <c r="V50" s="7"/>
      <c r="W50" s="7"/>
      <c r="X50" s="7"/>
      <c r="Y50" s="7"/>
      <c r="Z50" s="7"/>
    </row>
    <row r="51" ht="14.25" customHeight="1">
      <c r="A51" s="7"/>
      <c r="B51" s="86"/>
      <c r="E51" s="87"/>
      <c r="F51" s="7"/>
      <c r="G51" s="7"/>
      <c r="H51" s="7"/>
      <c r="I51" s="7"/>
      <c r="J51" s="7"/>
      <c r="K51" s="7"/>
      <c r="L51" s="7"/>
      <c r="M51" s="7"/>
      <c r="N51" s="7"/>
      <c r="O51" s="7"/>
      <c r="P51" s="7"/>
      <c r="Q51" s="7"/>
      <c r="R51" s="7"/>
      <c r="S51" s="7"/>
      <c r="T51" s="7"/>
      <c r="U51" s="7"/>
      <c r="V51" s="7"/>
      <c r="W51" s="7"/>
      <c r="X51" s="7"/>
      <c r="Y51" s="7"/>
      <c r="Z51" s="7"/>
    </row>
    <row r="52" ht="14.25" customHeight="1">
      <c r="A52" s="7"/>
      <c r="B52" s="86"/>
      <c r="E52" s="87"/>
      <c r="F52" s="7"/>
      <c r="G52" s="7"/>
      <c r="H52" s="7"/>
      <c r="I52" s="7"/>
      <c r="J52" s="7"/>
      <c r="K52" s="7"/>
      <c r="L52" s="7"/>
      <c r="M52" s="7"/>
      <c r="N52" s="7"/>
      <c r="O52" s="7"/>
      <c r="P52" s="7"/>
      <c r="Q52" s="7"/>
      <c r="R52" s="7"/>
      <c r="S52" s="7"/>
      <c r="T52" s="7"/>
      <c r="U52" s="7"/>
      <c r="V52" s="7"/>
      <c r="W52" s="7"/>
      <c r="X52" s="7"/>
      <c r="Y52" s="7"/>
      <c r="Z52" s="7"/>
    </row>
    <row r="53" ht="14.25" customHeight="1">
      <c r="A53" s="7"/>
      <c r="B53" s="86"/>
      <c r="E53" s="87"/>
      <c r="F53" s="7"/>
      <c r="G53" s="7"/>
      <c r="H53" s="7"/>
      <c r="I53" s="7"/>
      <c r="J53" s="7"/>
      <c r="K53" s="7"/>
      <c r="L53" s="7"/>
      <c r="M53" s="7"/>
      <c r="N53" s="7"/>
      <c r="O53" s="7"/>
      <c r="P53" s="7"/>
      <c r="Q53" s="7"/>
      <c r="R53" s="7"/>
      <c r="S53" s="7"/>
      <c r="T53" s="7"/>
      <c r="U53" s="7"/>
      <c r="V53" s="7"/>
      <c r="W53" s="7"/>
      <c r="X53" s="7"/>
      <c r="Y53" s="7"/>
      <c r="Z53" s="7"/>
    </row>
    <row r="54" ht="14.25" customHeight="1">
      <c r="A54" s="7"/>
      <c r="B54" s="86"/>
      <c r="E54" s="87"/>
      <c r="F54" s="7"/>
      <c r="G54" s="7"/>
      <c r="H54" s="7"/>
      <c r="I54" s="7"/>
      <c r="J54" s="7"/>
      <c r="K54" s="7"/>
      <c r="L54" s="7"/>
      <c r="M54" s="7"/>
      <c r="N54" s="7"/>
      <c r="O54" s="7"/>
      <c r="P54" s="7"/>
      <c r="Q54" s="7"/>
      <c r="R54" s="7"/>
      <c r="S54" s="7"/>
      <c r="T54" s="7"/>
      <c r="U54" s="7"/>
      <c r="V54" s="7"/>
      <c r="W54" s="7"/>
      <c r="X54" s="7"/>
      <c r="Y54" s="7"/>
      <c r="Z54" s="7"/>
    </row>
    <row r="55" ht="14.25" customHeight="1">
      <c r="A55" s="7"/>
      <c r="B55" s="86"/>
      <c r="E55" s="87"/>
      <c r="F55" s="7"/>
      <c r="G55" s="7"/>
      <c r="H55" s="7"/>
      <c r="I55" s="7"/>
      <c r="J55" s="7"/>
      <c r="K55" s="7"/>
      <c r="L55" s="7"/>
      <c r="M55" s="7"/>
      <c r="N55" s="7"/>
      <c r="O55" s="7"/>
      <c r="P55" s="7"/>
      <c r="Q55" s="7"/>
      <c r="R55" s="7"/>
      <c r="S55" s="7"/>
      <c r="T55" s="7"/>
      <c r="U55" s="7"/>
      <c r="V55" s="7"/>
      <c r="W55" s="7"/>
      <c r="X55" s="7"/>
      <c r="Y55" s="7"/>
      <c r="Z55" s="7"/>
    </row>
    <row r="56" ht="14.25" customHeight="1">
      <c r="A56" s="7"/>
      <c r="B56" s="86"/>
      <c r="E56" s="87"/>
      <c r="F56" s="7"/>
      <c r="G56" s="7"/>
      <c r="H56" s="7"/>
      <c r="I56" s="7"/>
      <c r="J56" s="7"/>
      <c r="K56" s="7"/>
      <c r="L56" s="7"/>
      <c r="M56" s="7"/>
      <c r="N56" s="7"/>
      <c r="O56" s="7"/>
      <c r="P56" s="7"/>
      <c r="Q56" s="7"/>
      <c r="R56" s="7"/>
      <c r="S56" s="7"/>
      <c r="T56" s="7"/>
      <c r="U56" s="7"/>
      <c r="V56" s="7"/>
      <c r="W56" s="7"/>
      <c r="X56" s="7"/>
      <c r="Y56" s="7"/>
      <c r="Z56" s="7"/>
    </row>
    <row r="57" ht="14.25" customHeight="1">
      <c r="A57" s="7"/>
      <c r="B57" s="86"/>
      <c r="E57" s="87"/>
      <c r="F57" s="7"/>
      <c r="G57" s="7"/>
      <c r="H57" s="7"/>
      <c r="I57" s="7"/>
      <c r="J57" s="7"/>
      <c r="K57" s="7"/>
      <c r="L57" s="7"/>
      <c r="M57" s="7"/>
      <c r="N57" s="7"/>
      <c r="O57" s="7"/>
      <c r="P57" s="7"/>
      <c r="Q57" s="7"/>
      <c r="R57" s="7"/>
      <c r="S57" s="7"/>
      <c r="T57" s="7"/>
      <c r="U57" s="7"/>
      <c r="V57" s="7"/>
      <c r="W57" s="7"/>
      <c r="X57" s="7"/>
      <c r="Y57" s="7"/>
      <c r="Z57" s="7"/>
    </row>
    <row r="58" ht="14.25" customHeight="1">
      <c r="A58" s="7"/>
      <c r="B58" s="86"/>
      <c r="E58" s="87"/>
      <c r="F58" s="7"/>
      <c r="G58" s="7"/>
      <c r="H58" s="7"/>
      <c r="I58" s="7"/>
      <c r="J58" s="7"/>
      <c r="K58" s="7"/>
      <c r="L58" s="7"/>
      <c r="M58" s="7"/>
      <c r="N58" s="7"/>
      <c r="O58" s="7"/>
      <c r="P58" s="7"/>
      <c r="Q58" s="7"/>
      <c r="R58" s="7"/>
      <c r="S58" s="7"/>
      <c r="T58" s="7"/>
      <c r="U58" s="7"/>
      <c r="V58" s="7"/>
      <c r="W58" s="7"/>
      <c r="X58" s="7"/>
      <c r="Y58" s="7"/>
      <c r="Z58" s="7"/>
    </row>
    <row r="59" ht="14.25" customHeight="1">
      <c r="A59" s="7"/>
      <c r="B59" s="86"/>
      <c r="E59" s="87"/>
      <c r="F59" s="7"/>
      <c r="G59" s="7"/>
      <c r="H59" s="7"/>
      <c r="I59" s="7"/>
      <c r="J59" s="7"/>
      <c r="K59" s="7"/>
      <c r="L59" s="7"/>
      <c r="M59" s="7"/>
      <c r="N59" s="7"/>
      <c r="O59" s="7"/>
      <c r="P59" s="7"/>
      <c r="Q59" s="7"/>
      <c r="R59" s="7"/>
      <c r="S59" s="7"/>
      <c r="T59" s="7"/>
      <c r="U59" s="7"/>
      <c r="V59" s="7"/>
      <c r="W59" s="7"/>
      <c r="X59" s="7"/>
      <c r="Y59" s="7"/>
      <c r="Z59" s="7"/>
    </row>
    <row r="60" ht="14.25" customHeight="1">
      <c r="A60" s="7"/>
      <c r="B60" s="86"/>
      <c r="E60" s="87"/>
      <c r="F60" s="7"/>
      <c r="G60" s="7"/>
      <c r="H60" s="7"/>
      <c r="I60" s="7"/>
      <c r="J60" s="7"/>
      <c r="K60" s="7"/>
      <c r="L60" s="7"/>
      <c r="M60" s="7"/>
      <c r="N60" s="7"/>
      <c r="O60" s="7"/>
      <c r="P60" s="7"/>
      <c r="Q60" s="7"/>
      <c r="R60" s="7"/>
      <c r="S60" s="7"/>
      <c r="T60" s="7"/>
      <c r="U60" s="7"/>
      <c r="V60" s="7"/>
      <c r="W60" s="7"/>
      <c r="X60" s="7"/>
      <c r="Y60" s="7"/>
      <c r="Z60" s="7"/>
    </row>
    <row r="61" ht="14.25" customHeight="1">
      <c r="A61" s="7"/>
      <c r="B61" s="86"/>
      <c r="E61" s="87"/>
      <c r="F61" s="7"/>
      <c r="G61" s="7"/>
      <c r="H61" s="7"/>
      <c r="I61" s="7"/>
      <c r="J61" s="7"/>
      <c r="K61" s="7"/>
      <c r="L61" s="7"/>
      <c r="M61" s="7"/>
      <c r="N61" s="7"/>
      <c r="O61" s="7"/>
      <c r="P61" s="7"/>
      <c r="Q61" s="7"/>
      <c r="R61" s="7"/>
      <c r="S61" s="7"/>
      <c r="T61" s="7"/>
      <c r="U61" s="7"/>
      <c r="V61" s="7"/>
      <c r="W61" s="7"/>
      <c r="X61" s="7"/>
      <c r="Y61" s="7"/>
      <c r="Z61" s="7"/>
    </row>
    <row r="62" ht="14.25" customHeight="1">
      <c r="A62" s="7"/>
      <c r="B62" s="86"/>
      <c r="E62" s="87"/>
      <c r="F62" s="7"/>
      <c r="G62" s="7"/>
      <c r="H62" s="7"/>
      <c r="I62" s="7"/>
      <c r="J62" s="7"/>
      <c r="K62" s="7"/>
      <c r="L62" s="7"/>
      <c r="M62" s="7"/>
      <c r="N62" s="7"/>
      <c r="O62" s="7"/>
      <c r="P62" s="7"/>
      <c r="Q62" s="7"/>
      <c r="R62" s="7"/>
      <c r="S62" s="7"/>
      <c r="T62" s="7"/>
      <c r="U62" s="7"/>
      <c r="V62" s="7"/>
      <c r="W62" s="7"/>
      <c r="X62" s="7"/>
      <c r="Y62" s="7"/>
      <c r="Z62" s="7"/>
    </row>
    <row r="63" ht="14.25" customHeight="1">
      <c r="A63" s="7"/>
      <c r="B63" s="86"/>
      <c r="E63" s="87"/>
      <c r="F63" s="7"/>
      <c r="G63" s="7"/>
      <c r="H63" s="7"/>
      <c r="I63" s="7"/>
      <c r="J63" s="7"/>
      <c r="K63" s="7"/>
      <c r="L63" s="7"/>
      <c r="M63" s="7"/>
      <c r="N63" s="7"/>
      <c r="O63" s="7"/>
      <c r="P63" s="7"/>
      <c r="Q63" s="7"/>
      <c r="R63" s="7"/>
      <c r="S63" s="7"/>
      <c r="T63" s="7"/>
      <c r="U63" s="7"/>
      <c r="V63" s="7"/>
      <c r="W63" s="7"/>
      <c r="X63" s="7"/>
      <c r="Y63" s="7"/>
      <c r="Z63" s="7"/>
    </row>
    <row r="64" ht="14.25" customHeight="1">
      <c r="A64" s="7"/>
      <c r="B64" s="86"/>
      <c r="E64" s="87"/>
      <c r="F64" s="7"/>
      <c r="G64" s="7"/>
      <c r="H64" s="7"/>
      <c r="I64" s="7"/>
      <c r="J64" s="7"/>
      <c r="K64" s="7"/>
      <c r="L64" s="7"/>
      <c r="M64" s="7"/>
      <c r="N64" s="7"/>
      <c r="O64" s="7"/>
      <c r="P64" s="7"/>
      <c r="Q64" s="7"/>
      <c r="R64" s="7"/>
      <c r="S64" s="7"/>
      <c r="T64" s="7"/>
      <c r="U64" s="7"/>
      <c r="V64" s="7"/>
      <c r="W64" s="7"/>
      <c r="X64" s="7"/>
      <c r="Y64" s="7"/>
      <c r="Z64" s="7"/>
    </row>
    <row r="65" ht="14.25" customHeight="1">
      <c r="A65" s="7"/>
      <c r="B65" s="86"/>
      <c r="E65" s="87"/>
      <c r="F65" s="7"/>
      <c r="G65" s="7"/>
      <c r="H65" s="7"/>
      <c r="I65" s="7"/>
      <c r="J65" s="7"/>
      <c r="K65" s="7"/>
      <c r="L65" s="7"/>
      <c r="M65" s="7"/>
      <c r="N65" s="7"/>
      <c r="O65" s="7"/>
      <c r="P65" s="7"/>
      <c r="Q65" s="7"/>
      <c r="R65" s="7"/>
      <c r="S65" s="7"/>
      <c r="T65" s="7"/>
      <c r="U65" s="7"/>
      <c r="V65" s="7"/>
      <c r="W65" s="7"/>
      <c r="X65" s="7"/>
      <c r="Y65" s="7"/>
      <c r="Z65" s="7"/>
    </row>
    <row r="66" ht="14.25" customHeight="1">
      <c r="A66" s="7"/>
      <c r="B66" s="86"/>
      <c r="E66" s="87"/>
      <c r="F66" s="7"/>
      <c r="G66" s="7"/>
      <c r="H66" s="7"/>
      <c r="I66" s="7"/>
      <c r="J66" s="7"/>
      <c r="K66" s="7"/>
      <c r="L66" s="7"/>
      <c r="M66" s="7"/>
      <c r="N66" s="7"/>
      <c r="O66" s="7"/>
      <c r="P66" s="7"/>
      <c r="Q66" s="7"/>
      <c r="R66" s="7"/>
      <c r="S66" s="7"/>
      <c r="T66" s="7"/>
      <c r="U66" s="7"/>
      <c r="V66" s="7"/>
      <c r="W66" s="7"/>
      <c r="X66" s="7"/>
      <c r="Y66" s="7"/>
      <c r="Z66" s="7"/>
    </row>
    <row r="67" ht="14.25" customHeight="1">
      <c r="A67" s="7"/>
      <c r="B67" s="86"/>
      <c r="E67" s="87"/>
      <c r="F67" s="7"/>
      <c r="G67" s="7"/>
      <c r="H67" s="7"/>
      <c r="I67" s="7"/>
      <c r="J67" s="7"/>
      <c r="K67" s="7"/>
      <c r="L67" s="7"/>
      <c r="M67" s="7"/>
      <c r="N67" s="7"/>
      <c r="O67" s="7"/>
      <c r="P67" s="7"/>
      <c r="Q67" s="7"/>
      <c r="R67" s="7"/>
      <c r="S67" s="7"/>
      <c r="T67" s="7"/>
      <c r="U67" s="7"/>
      <c r="V67" s="7"/>
      <c r="W67" s="7"/>
      <c r="X67" s="7"/>
      <c r="Y67" s="7"/>
      <c r="Z67" s="7"/>
    </row>
    <row r="68" ht="14.25" customHeight="1">
      <c r="A68" s="7"/>
      <c r="B68" s="86"/>
      <c r="E68" s="87"/>
      <c r="F68" s="7"/>
      <c r="G68" s="7"/>
      <c r="H68" s="7"/>
      <c r="I68" s="7"/>
      <c r="J68" s="7"/>
      <c r="K68" s="7"/>
      <c r="L68" s="7"/>
      <c r="M68" s="7"/>
      <c r="N68" s="7"/>
      <c r="O68" s="7"/>
      <c r="P68" s="7"/>
      <c r="Q68" s="7"/>
      <c r="R68" s="7"/>
      <c r="S68" s="7"/>
      <c r="T68" s="7"/>
      <c r="U68" s="7"/>
      <c r="V68" s="7"/>
      <c r="W68" s="7"/>
      <c r="X68" s="7"/>
      <c r="Y68" s="7"/>
      <c r="Z68" s="7"/>
    </row>
    <row r="69" ht="14.25" customHeight="1">
      <c r="A69" s="7"/>
      <c r="B69" s="86"/>
      <c r="E69" s="87"/>
      <c r="F69" s="7"/>
      <c r="G69" s="7"/>
      <c r="H69" s="7"/>
      <c r="I69" s="7"/>
      <c r="J69" s="7"/>
      <c r="K69" s="7"/>
      <c r="L69" s="7"/>
      <c r="M69" s="7"/>
      <c r="N69" s="7"/>
      <c r="O69" s="7"/>
      <c r="P69" s="7"/>
      <c r="Q69" s="7"/>
      <c r="R69" s="7"/>
      <c r="S69" s="7"/>
      <c r="T69" s="7"/>
      <c r="U69" s="7"/>
      <c r="V69" s="7"/>
      <c r="W69" s="7"/>
      <c r="X69" s="7"/>
      <c r="Y69" s="7"/>
      <c r="Z69" s="7"/>
    </row>
    <row r="70" ht="14.25" customHeight="1">
      <c r="A70" s="7"/>
      <c r="B70" s="86"/>
      <c r="E70" s="87"/>
      <c r="F70" s="7"/>
      <c r="G70" s="7"/>
      <c r="H70" s="7"/>
      <c r="I70" s="7"/>
      <c r="J70" s="7"/>
      <c r="K70" s="7"/>
      <c r="L70" s="7"/>
      <c r="M70" s="7"/>
      <c r="N70" s="7"/>
      <c r="O70" s="7"/>
      <c r="P70" s="7"/>
      <c r="Q70" s="7"/>
      <c r="R70" s="7"/>
      <c r="S70" s="7"/>
      <c r="T70" s="7"/>
      <c r="U70" s="7"/>
      <c r="V70" s="7"/>
      <c r="W70" s="7"/>
      <c r="X70" s="7"/>
      <c r="Y70" s="7"/>
      <c r="Z70" s="7"/>
    </row>
    <row r="71" ht="14.25" customHeight="1">
      <c r="A71" s="7"/>
      <c r="B71" s="86"/>
      <c r="E71" s="87"/>
      <c r="F71" s="7"/>
      <c r="G71" s="7"/>
      <c r="H71" s="7"/>
      <c r="I71" s="7"/>
      <c r="J71" s="7"/>
      <c r="K71" s="7"/>
      <c r="L71" s="7"/>
      <c r="M71" s="7"/>
      <c r="N71" s="7"/>
      <c r="O71" s="7"/>
      <c r="P71" s="7"/>
      <c r="Q71" s="7"/>
      <c r="R71" s="7"/>
      <c r="S71" s="7"/>
      <c r="T71" s="7"/>
      <c r="U71" s="7"/>
      <c r="V71" s="7"/>
      <c r="W71" s="7"/>
      <c r="X71" s="7"/>
      <c r="Y71" s="7"/>
      <c r="Z71" s="7"/>
    </row>
    <row r="72" ht="14.25" customHeight="1">
      <c r="A72" s="7"/>
      <c r="B72" s="88"/>
      <c r="C72" s="89"/>
      <c r="D72" s="89"/>
      <c r="E72" s="90"/>
      <c r="F72" s="7"/>
      <c r="G72" s="7"/>
      <c r="H72" s="7"/>
      <c r="I72" s="7"/>
      <c r="J72" s="7"/>
      <c r="K72" s="7"/>
      <c r="L72" s="7"/>
      <c r="M72" s="7"/>
      <c r="N72" s="7"/>
      <c r="O72" s="7"/>
      <c r="P72" s="7"/>
      <c r="Q72" s="7"/>
      <c r="R72" s="7"/>
      <c r="S72" s="7"/>
      <c r="T72" s="7"/>
      <c r="U72" s="7"/>
      <c r="V72" s="7"/>
      <c r="W72" s="7"/>
      <c r="X72" s="7"/>
      <c r="Y72" s="7"/>
      <c r="Z72" s="7"/>
    </row>
    <row r="73" ht="14.25" customHeight="1">
      <c r="A73" s="7"/>
      <c r="B73" s="7"/>
      <c r="C73" s="7"/>
      <c r="D73" s="7"/>
      <c r="E73" s="7"/>
      <c r="F73" s="7"/>
      <c r="G73" s="7"/>
      <c r="H73" s="7"/>
      <c r="I73" s="7"/>
      <c r="J73" s="7"/>
      <c r="K73" s="7"/>
      <c r="L73" s="7"/>
      <c r="M73" s="7"/>
      <c r="N73" s="7"/>
      <c r="O73" s="7"/>
      <c r="P73" s="7"/>
      <c r="Q73" s="7"/>
      <c r="R73" s="7"/>
      <c r="S73" s="7"/>
      <c r="T73" s="7"/>
      <c r="U73" s="7"/>
      <c r="V73" s="7"/>
      <c r="W73" s="7"/>
      <c r="X73" s="7"/>
      <c r="Y73" s="7"/>
      <c r="Z73" s="7"/>
    </row>
    <row r="74" ht="14.25" customHeight="1">
      <c r="A74" s="7"/>
      <c r="B74" s="7"/>
      <c r="C74" s="7"/>
      <c r="D74" s="7"/>
      <c r="E74" s="7"/>
      <c r="F74" s="7"/>
      <c r="G74" s="7"/>
      <c r="H74" s="7"/>
      <c r="I74" s="7"/>
      <c r="J74" s="7"/>
      <c r="K74" s="7"/>
      <c r="L74" s="7"/>
      <c r="M74" s="7"/>
      <c r="N74" s="7"/>
      <c r="O74" s="7"/>
      <c r="P74" s="7"/>
      <c r="Q74" s="7"/>
      <c r="R74" s="7"/>
      <c r="S74" s="7"/>
      <c r="T74" s="7"/>
      <c r="U74" s="7"/>
      <c r="V74" s="7"/>
      <c r="W74" s="7"/>
      <c r="X74" s="7"/>
      <c r="Y74" s="7"/>
      <c r="Z74" s="7"/>
    </row>
    <row r="75" ht="14.2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7"/>
      <c r="B76" s="7"/>
      <c r="C76" s="7"/>
      <c r="D76" s="7"/>
      <c r="E76" s="7"/>
      <c r="F76" s="7"/>
      <c r="G76" s="7"/>
      <c r="H76" s="7"/>
      <c r="I76" s="7"/>
      <c r="J76" s="7"/>
      <c r="K76" s="7"/>
      <c r="L76" s="7"/>
      <c r="M76" s="7"/>
      <c r="N76" s="7"/>
      <c r="O76" s="7"/>
      <c r="P76" s="7"/>
      <c r="Q76" s="7"/>
      <c r="R76" s="7"/>
      <c r="S76" s="7"/>
      <c r="T76" s="7"/>
      <c r="U76" s="7"/>
      <c r="V76" s="7"/>
      <c r="W76" s="7"/>
      <c r="X76" s="7"/>
      <c r="Y76" s="7"/>
      <c r="Z76" s="7"/>
    </row>
    <row r="77" ht="14.25" customHeight="1">
      <c r="A77" s="7"/>
      <c r="B77" s="7"/>
      <c r="C77" s="7"/>
      <c r="D77" s="7"/>
      <c r="E77" s="7"/>
      <c r="F77" s="7"/>
      <c r="G77" s="7"/>
      <c r="H77" s="7"/>
      <c r="I77" s="7"/>
      <c r="J77" s="7"/>
      <c r="K77" s="7"/>
      <c r="L77" s="7"/>
      <c r="M77" s="7"/>
      <c r="N77" s="7"/>
      <c r="O77" s="7"/>
      <c r="P77" s="7"/>
      <c r="Q77" s="7"/>
      <c r="R77" s="7"/>
      <c r="S77" s="7"/>
      <c r="T77" s="7"/>
      <c r="U77" s="7"/>
      <c r="V77" s="7"/>
      <c r="W77" s="7"/>
      <c r="X77" s="7"/>
      <c r="Y77" s="7"/>
      <c r="Z77" s="7"/>
    </row>
    <row r="78" ht="14.25" customHeight="1">
      <c r="A78" s="7"/>
      <c r="B78" s="7"/>
      <c r="C78" s="7"/>
      <c r="D78" s="7"/>
      <c r="E78" s="7"/>
      <c r="F78" s="7"/>
      <c r="G78" s="7"/>
      <c r="H78" s="7"/>
      <c r="I78" s="7"/>
      <c r="J78" s="7"/>
      <c r="K78" s="7"/>
      <c r="L78" s="7"/>
      <c r="M78" s="7"/>
      <c r="N78" s="7"/>
      <c r="O78" s="7"/>
      <c r="P78" s="7"/>
      <c r="Q78" s="7"/>
      <c r="R78" s="7"/>
      <c r="S78" s="7"/>
      <c r="T78" s="7"/>
      <c r="U78" s="7"/>
      <c r="V78" s="7"/>
      <c r="W78" s="7"/>
      <c r="X78" s="7"/>
      <c r="Y78" s="7"/>
      <c r="Z78" s="7"/>
    </row>
    <row r="79" ht="14.25" customHeight="1">
      <c r="A79" s="7"/>
      <c r="B79" s="7"/>
      <c r="C79" s="7"/>
      <c r="D79" s="7"/>
      <c r="E79" s="7"/>
      <c r="F79" s="7"/>
      <c r="G79" s="7"/>
      <c r="H79" s="7"/>
      <c r="I79" s="7"/>
      <c r="J79" s="7"/>
      <c r="K79" s="7"/>
      <c r="L79" s="7"/>
      <c r="M79" s="7"/>
      <c r="N79" s="7"/>
      <c r="O79" s="7"/>
      <c r="P79" s="7"/>
      <c r="Q79" s="7"/>
      <c r="R79" s="7"/>
      <c r="S79" s="7"/>
      <c r="T79" s="7"/>
      <c r="U79" s="7"/>
      <c r="V79" s="7"/>
      <c r="W79" s="7"/>
      <c r="X79" s="7"/>
      <c r="Y79" s="7"/>
      <c r="Z79" s="7"/>
    </row>
    <row r="80" ht="14.25" customHeight="1">
      <c r="A80" s="7"/>
      <c r="B80" s="7"/>
      <c r="C80" s="7"/>
      <c r="D80" s="7"/>
      <c r="E80" s="7"/>
      <c r="F80" s="7"/>
      <c r="G80" s="7"/>
      <c r="H80" s="7"/>
      <c r="I80" s="7"/>
      <c r="J80" s="7"/>
      <c r="K80" s="7"/>
      <c r="L80" s="7"/>
      <c r="M80" s="7"/>
      <c r="N80" s="7"/>
      <c r="O80" s="7"/>
      <c r="P80" s="7"/>
      <c r="Q80" s="7"/>
      <c r="R80" s="7"/>
      <c r="S80" s="7"/>
      <c r="T80" s="7"/>
      <c r="U80" s="7"/>
      <c r="V80" s="7"/>
      <c r="W80" s="7"/>
      <c r="X80" s="7"/>
      <c r="Y80" s="7"/>
      <c r="Z80" s="7"/>
    </row>
    <row r="81" ht="14.25" customHeight="1">
      <c r="A81" s="7"/>
      <c r="B81" s="7"/>
      <c r="C81" s="7"/>
      <c r="D81" s="7"/>
      <c r="E81" s="7"/>
      <c r="F81" s="7"/>
      <c r="G81" s="7"/>
      <c r="H81" s="7"/>
      <c r="I81" s="7"/>
      <c r="J81" s="7"/>
      <c r="K81" s="7"/>
      <c r="L81" s="7"/>
      <c r="M81" s="7"/>
      <c r="N81" s="7"/>
      <c r="O81" s="7"/>
      <c r="P81" s="7"/>
      <c r="Q81" s="7"/>
      <c r="R81" s="7"/>
      <c r="S81" s="7"/>
      <c r="T81" s="7"/>
      <c r="U81" s="7"/>
      <c r="V81" s="7"/>
      <c r="W81" s="7"/>
      <c r="X81" s="7"/>
      <c r="Y81" s="7"/>
      <c r="Z81" s="7"/>
    </row>
    <row r="82" ht="14.25" customHeight="1">
      <c r="A82" s="7"/>
      <c r="B82" s="7"/>
      <c r="C82" s="7"/>
      <c r="D82" s="7"/>
      <c r="E82" s="7"/>
      <c r="F82" s="7"/>
      <c r="G82" s="7"/>
      <c r="H82" s="7"/>
      <c r="I82" s="7"/>
      <c r="J82" s="7"/>
      <c r="K82" s="7"/>
      <c r="L82" s="7"/>
      <c r="M82" s="7"/>
      <c r="N82" s="7"/>
      <c r="O82" s="7"/>
      <c r="P82" s="7"/>
      <c r="Q82" s="7"/>
      <c r="R82" s="7"/>
      <c r="S82" s="7"/>
      <c r="T82" s="7"/>
      <c r="U82" s="7"/>
      <c r="V82" s="7"/>
      <c r="W82" s="7"/>
      <c r="X82" s="7"/>
      <c r="Y82" s="7"/>
      <c r="Z82" s="7"/>
    </row>
    <row r="83" ht="14.25" customHeight="1">
      <c r="A83" s="7"/>
      <c r="B83" s="7"/>
      <c r="C83" s="7"/>
      <c r="D83" s="7"/>
      <c r="E83" s="7"/>
      <c r="F83" s="7"/>
      <c r="G83" s="7"/>
      <c r="H83" s="7"/>
      <c r="I83" s="7"/>
      <c r="J83" s="7"/>
      <c r="K83" s="7"/>
      <c r="L83" s="7"/>
      <c r="M83" s="7"/>
      <c r="N83" s="7"/>
      <c r="O83" s="7"/>
      <c r="P83" s="7"/>
      <c r="Q83" s="7"/>
      <c r="R83" s="7"/>
      <c r="S83" s="7"/>
      <c r="T83" s="7"/>
      <c r="U83" s="7"/>
      <c r="V83" s="7"/>
      <c r="W83" s="7"/>
      <c r="X83" s="7"/>
      <c r="Y83" s="7"/>
      <c r="Z83" s="7"/>
    </row>
    <row r="84" ht="14.25" customHeight="1">
      <c r="A84" s="7"/>
      <c r="B84" s="7"/>
      <c r="C84" s="7"/>
      <c r="D84" s="7"/>
      <c r="E84" s="7"/>
      <c r="F84" s="7"/>
      <c r="G84" s="7"/>
      <c r="H84" s="7"/>
      <c r="I84" s="7"/>
      <c r="J84" s="7"/>
      <c r="K84" s="7"/>
      <c r="L84" s="7"/>
      <c r="M84" s="7"/>
      <c r="N84" s="7"/>
      <c r="O84" s="7"/>
      <c r="P84" s="7"/>
      <c r="Q84" s="7"/>
      <c r="R84" s="7"/>
      <c r="S84" s="7"/>
      <c r="T84" s="7"/>
      <c r="U84" s="7"/>
      <c r="V84" s="7"/>
      <c r="W84" s="7"/>
      <c r="X84" s="7"/>
      <c r="Y84" s="7"/>
      <c r="Z84" s="7"/>
    </row>
    <row r="85" ht="14.2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4.2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4.2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4.2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4.2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4.2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4.2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4.2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4.2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4.2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4.2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4.2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4.2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4.2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4.2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4.2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4.2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4.2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4.2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4.2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4.2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4.2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4.2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4.2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11">
    <mergeCell ref="B10:E10"/>
    <mergeCell ref="B11:E72"/>
    <mergeCell ref="F11:I33"/>
    <mergeCell ref="J11:M33"/>
    <mergeCell ref="H1:M2"/>
    <mergeCell ref="B5:D5"/>
    <mergeCell ref="E5:M5"/>
    <mergeCell ref="B6:D8"/>
    <mergeCell ref="E6:M8"/>
    <mergeCell ref="F10:I10"/>
    <mergeCell ref="J10:M10"/>
  </mergeCells>
  <conditionalFormatting sqref="B6">
    <cfRule type="cellIs" dxfId="0" priority="1" operator="greaterThan">
      <formula>3.5</formula>
    </cfRule>
  </conditionalFormatting>
  <conditionalFormatting sqref="B6">
    <cfRule type="cellIs" dxfId="4" priority="2" operator="between">
      <formula>2.4</formula>
      <formula>3.4</formula>
    </cfRule>
  </conditionalFormatting>
  <conditionalFormatting sqref="B6">
    <cfRule type="cellIs" dxfId="5" priority="3" operator="between">
      <formula>1.5</formula>
      <formula>2.3</formula>
    </cfRule>
  </conditionalFormatting>
  <conditionalFormatting sqref="B6">
    <cfRule type="cellIs" dxfId="6" priority="4" operator="lessThanOrEqual">
      <formula>1.4</formula>
    </cfRule>
  </conditionalFormatting>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sheetPr>
  <sheetViews>
    <sheetView workbookViewId="0"/>
  </sheetViews>
  <sheetFormatPr customHeight="1" defaultColWidth="14.43" defaultRowHeight="15.0"/>
  <cols>
    <col customWidth="1" min="1" max="1" width="17.29"/>
    <col customWidth="1" min="2" max="2" width="55.29"/>
    <col customWidth="1" min="3" max="3" width="32.29"/>
    <col customWidth="1" min="4" max="4" width="13.29"/>
    <col customWidth="1" min="5" max="5" width="27.57"/>
    <col customWidth="1" min="6" max="7" width="8.71"/>
    <col customWidth="1" min="8" max="8" width="195.29"/>
    <col customWidth="1" min="9" max="9" width="27.71"/>
    <col customWidth="1" min="10" max="26" width="8.71"/>
  </cols>
  <sheetData>
    <row r="1" ht="14.25" customHeight="1">
      <c r="A1" s="107" t="s">
        <v>406</v>
      </c>
      <c r="K1" s="7"/>
      <c r="L1" s="7"/>
      <c r="M1" s="7"/>
      <c r="N1" s="7"/>
      <c r="O1" s="7"/>
      <c r="P1" s="7"/>
      <c r="Q1" s="7"/>
      <c r="R1" s="7"/>
      <c r="S1" s="7"/>
      <c r="T1" s="7"/>
      <c r="U1" s="7"/>
      <c r="V1" s="7"/>
      <c r="W1" s="7"/>
      <c r="X1" s="7"/>
      <c r="Y1" s="7"/>
      <c r="Z1" s="7"/>
    </row>
    <row r="2" ht="14.25" customHeight="1">
      <c r="A2" s="107"/>
      <c r="B2" s="107"/>
      <c r="C2" s="107"/>
      <c r="D2" s="107"/>
      <c r="E2" s="107"/>
      <c r="F2" s="107"/>
      <c r="G2" s="107"/>
      <c r="H2" s="107"/>
      <c r="I2" s="107"/>
      <c r="J2" s="107"/>
      <c r="K2" s="7"/>
      <c r="L2" s="7"/>
      <c r="M2" s="7"/>
      <c r="N2" s="7"/>
      <c r="O2" s="7"/>
      <c r="P2" s="7"/>
      <c r="Q2" s="7"/>
      <c r="R2" s="7"/>
      <c r="S2" s="7"/>
      <c r="T2" s="7"/>
      <c r="U2" s="7"/>
      <c r="V2" s="7"/>
      <c r="W2" s="7"/>
      <c r="X2" s="7"/>
      <c r="Y2" s="7"/>
      <c r="Z2" s="7"/>
    </row>
    <row r="3" ht="14.25" customHeight="1">
      <c r="A3" s="7"/>
      <c r="B3" s="7"/>
      <c r="C3" s="7"/>
      <c r="D3" s="7"/>
      <c r="E3" s="7"/>
      <c r="F3" s="7"/>
      <c r="G3" s="7"/>
      <c r="H3" s="7"/>
      <c r="I3" s="7" t="s">
        <v>165</v>
      </c>
      <c r="J3" s="7"/>
      <c r="K3" s="7"/>
      <c r="L3" s="7"/>
      <c r="M3" s="7"/>
      <c r="N3" s="7"/>
      <c r="O3" s="7"/>
      <c r="P3" s="7"/>
      <c r="Q3" s="7"/>
      <c r="R3" s="7"/>
      <c r="S3" s="7"/>
      <c r="T3" s="7"/>
      <c r="U3" s="7"/>
      <c r="V3" s="7"/>
      <c r="W3" s="7"/>
      <c r="X3" s="7"/>
      <c r="Y3" s="7"/>
      <c r="Z3" s="7"/>
    </row>
    <row r="4" ht="14.25" customHeight="1">
      <c r="A4" s="109" t="s">
        <v>407</v>
      </c>
      <c r="B4" s="109" t="s">
        <v>408</v>
      </c>
      <c r="C4" s="7" t="s">
        <v>272</v>
      </c>
      <c r="D4" s="7" t="s">
        <v>339</v>
      </c>
      <c r="E4" s="7" t="s">
        <v>163</v>
      </c>
      <c r="F4" s="7" t="s">
        <v>409</v>
      </c>
      <c r="G4" s="131">
        <v>1.0</v>
      </c>
      <c r="H4" s="7"/>
      <c r="I4" s="55"/>
      <c r="J4" s="7"/>
      <c r="K4" s="7"/>
      <c r="L4" s="7"/>
      <c r="M4" s="7"/>
      <c r="N4" s="7"/>
      <c r="O4" s="7"/>
      <c r="P4" s="7"/>
      <c r="Q4" s="7"/>
      <c r="R4" s="7"/>
      <c r="S4" s="7"/>
      <c r="T4" s="7"/>
      <c r="U4" s="7"/>
      <c r="V4" s="7"/>
      <c r="W4" s="7"/>
      <c r="X4" s="7"/>
      <c r="Y4" s="7"/>
      <c r="Z4" s="7"/>
    </row>
    <row r="5" ht="14.25" customHeight="1">
      <c r="C5" s="7" t="s">
        <v>410</v>
      </c>
      <c r="D5" s="7" t="s">
        <v>181</v>
      </c>
      <c r="E5" s="7" t="s">
        <v>182</v>
      </c>
      <c r="F5" s="7" t="s">
        <v>411</v>
      </c>
      <c r="G5" s="131">
        <v>1.0</v>
      </c>
      <c r="H5" s="7"/>
      <c r="I5" s="55" t="str">
        <f>IFERROR(VLOOKUP('Answer Sheet'!U14,F4:G7,2,FALSE),"0")</f>
        <v>0</v>
      </c>
      <c r="J5" s="7"/>
      <c r="K5" s="7"/>
      <c r="L5" s="7"/>
      <c r="M5" s="7"/>
      <c r="N5" s="7"/>
      <c r="O5" s="7"/>
      <c r="P5" s="7"/>
      <c r="Q5" s="7"/>
      <c r="R5" s="7"/>
      <c r="S5" s="7"/>
      <c r="T5" s="7"/>
      <c r="U5" s="7"/>
      <c r="V5" s="7"/>
      <c r="W5" s="7"/>
      <c r="X5" s="7"/>
      <c r="Y5" s="7"/>
      <c r="Z5" s="7"/>
    </row>
    <row r="6" ht="14.25" customHeight="1">
      <c r="C6" s="7" t="s">
        <v>412</v>
      </c>
      <c r="D6" s="7" t="s">
        <v>181</v>
      </c>
      <c r="E6" s="7" t="s">
        <v>168</v>
      </c>
      <c r="F6" s="7" t="s">
        <v>413</v>
      </c>
      <c r="G6" s="132">
        <v>2.0</v>
      </c>
      <c r="H6" s="7" t="s">
        <v>414</v>
      </c>
      <c r="I6" s="55"/>
      <c r="J6" s="7"/>
      <c r="K6" s="7"/>
      <c r="L6" s="7"/>
      <c r="M6" s="7"/>
      <c r="N6" s="7"/>
      <c r="O6" s="7"/>
      <c r="P6" s="7"/>
      <c r="Q6" s="7"/>
      <c r="R6" s="7"/>
      <c r="S6" s="7"/>
      <c r="T6" s="7"/>
      <c r="U6" s="7"/>
      <c r="V6" s="7"/>
      <c r="W6" s="7"/>
      <c r="X6" s="7"/>
      <c r="Y6" s="7"/>
      <c r="Z6" s="7"/>
    </row>
    <row r="7" ht="14.25" customHeight="1">
      <c r="C7" s="7" t="s">
        <v>415</v>
      </c>
      <c r="D7" s="7" t="s">
        <v>197</v>
      </c>
      <c r="E7" s="7" t="s">
        <v>313</v>
      </c>
      <c r="F7" s="7" t="s">
        <v>416</v>
      </c>
      <c r="G7" s="163">
        <v>3.0</v>
      </c>
      <c r="H7" s="7" t="s">
        <v>417</v>
      </c>
      <c r="I7" s="55"/>
      <c r="J7" s="7"/>
      <c r="K7" s="7"/>
      <c r="L7" s="7"/>
      <c r="M7" s="7"/>
      <c r="N7" s="7"/>
      <c r="O7" s="7"/>
      <c r="P7" s="7"/>
      <c r="Q7" s="7"/>
      <c r="R7" s="7"/>
      <c r="S7" s="7"/>
      <c r="T7" s="7"/>
      <c r="U7" s="7"/>
      <c r="V7" s="7"/>
      <c r="W7" s="7"/>
      <c r="X7" s="7"/>
      <c r="Y7" s="7"/>
      <c r="Z7" s="7"/>
    </row>
    <row r="8" ht="14.25" customHeight="1">
      <c r="A8" s="80"/>
      <c r="B8" s="80"/>
      <c r="C8" s="7"/>
      <c r="D8" s="7"/>
      <c r="E8" s="7"/>
      <c r="F8" s="7"/>
      <c r="G8" s="111"/>
      <c r="H8" s="7"/>
      <c r="I8" s="7"/>
      <c r="J8" s="7"/>
      <c r="K8" s="7"/>
      <c r="L8" s="7"/>
      <c r="M8" s="7"/>
      <c r="N8" s="7"/>
      <c r="O8" s="7"/>
      <c r="P8" s="7"/>
      <c r="Q8" s="7"/>
      <c r="R8" s="7"/>
      <c r="S8" s="7"/>
      <c r="T8" s="7"/>
      <c r="U8" s="7"/>
      <c r="V8" s="7"/>
      <c r="W8" s="7"/>
      <c r="X8" s="7"/>
      <c r="Y8" s="7"/>
      <c r="Z8" s="7"/>
    </row>
    <row r="9" ht="14.25" customHeight="1">
      <c r="A9" s="109" t="s">
        <v>418</v>
      </c>
      <c r="B9" s="109" t="s">
        <v>419</v>
      </c>
      <c r="C9" s="7" t="s">
        <v>272</v>
      </c>
      <c r="D9" s="7" t="s">
        <v>420</v>
      </c>
      <c r="E9" s="7" t="s">
        <v>163</v>
      </c>
      <c r="F9" s="7" t="s">
        <v>421</v>
      </c>
      <c r="G9" s="131">
        <v>1.0</v>
      </c>
      <c r="H9" s="7"/>
      <c r="I9" s="55" t="str">
        <f>IFERROR(VLOOKUP('Answer Sheet'!U15,F9:G13,2,FALSE),"0")</f>
        <v>0</v>
      </c>
      <c r="J9" s="7"/>
      <c r="K9" s="7"/>
      <c r="L9" s="7"/>
      <c r="M9" s="7"/>
      <c r="N9" s="7"/>
      <c r="O9" s="7"/>
      <c r="P9" s="7"/>
      <c r="Q9" s="7"/>
      <c r="R9" s="7"/>
      <c r="S9" s="7"/>
      <c r="T9" s="7"/>
      <c r="U9" s="7"/>
      <c r="V9" s="7"/>
      <c r="W9" s="7"/>
      <c r="X9" s="7"/>
      <c r="Y9" s="7"/>
      <c r="Z9" s="7"/>
    </row>
    <row r="10" ht="14.25" customHeight="1">
      <c r="C10" s="7" t="s">
        <v>422</v>
      </c>
      <c r="D10" s="7" t="s">
        <v>182</v>
      </c>
      <c r="E10" s="7" t="s">
        <v>185</v>
      </c>
      <c r="F10" s="7" t="s">
        <v>423</v>
      </c>
      <c r="G10" s="131">
        <v>1.0</v>
      </c>
      <c r="H10" s="7"/>
      <c r="I10" s="55"/>
      <c r="J10" s="7"/>
      <c r="K10" s="7"/>
      <c r="L10" s="7"/>
      <c r="M10" s="7"/>
      <c r="N10" s="7"/>
      <c r="O10" s="7"/>
      <c r="P10" s="7"/>
      <c r="Q10" s="7"/>
      <c r="R10" s="7"/>
      <c r="S10" s="7"/>
      <c r="T10" s="7"/>
      <c r="U10" s="7"/>
      <c r="V10" s="7"/>
      <c r="W10" s="7"/>
      <c r="X10" s="7"/>
      <c r="Y10" s="7"/>
      <c r="Z10" s="7"/>
    </row>
    <row r="11" ht="14.25" customHeight="1">
      <c r="C11" s="7" t="s">
        <v>424</v>
      </c>
      <c r="D11" s="7" t="s">
        <v>181</v>
      </c>
      <c r="E11" s="7" t="s">
        <v>168</v>
      </c>
      <c r="F11" s="7" t="s">
        <v>425</v>
      </c>
      <c r="G11" s="132">
        <v>2.0</v>
      </c>
      <c r="H11" s="7" t="s">
        <v>426</v>
      </c>
      <c r="I11" s="55"/>
      <c r="J11" s="7"/>
      <c r="K11" s="7"/>
      <c r="L11" s="7"/>
      <c r="M11" s="7"/>
      <c r="N11" s="7"/>
      <c r="O11" s="7"/>
      <c r="P11" s="7"/>
      <c r="Q11" s="7"/>
      <c r="R11" s="7"/>
      <c r="S11" s="7"/>
      <c r="T11" s="7"/>
      <c r="U11" s="7"/>
      <c r="V11" s="7"/>
      <c r="W11" s="7"/>
      <c r="X11" s="7"/>
      <c r="Y11" s="7"/>
      <c r="Z11" s="7"/>
    </row>
    <row r="12" ht="14.25" customHeight="1">
      <c r="C12" s="7" t="s">
        <v>427</v>
      </c>
      <c r="D12" s="7" t="s">
        <v>185</v>
      </c>
      <c r="E12" s="7" t="s">
        <v>313</v>
      </c>
      <c r="F12" s="7" t="s">
        <v>428</v>
      </c>
      <c r="G12" s="163">
        <v>3.0</v>
      </c>
      <c r="H12" s="7" t="s">
        <v>429</v>
      </c>
      <c r="I12" s="55"/>
      <c r="J12" s="7"/>
      <c r="K12" s="7"/>
      <c r="L12" s="7"/>
      <c r="M12" s="7"/>
      <c r="N12" s="7"/>
      <c r="O12" s="7"/>
      <c r="P12" s="7"/>
      <c r="Q12" s="7"/>
      <c r="R12" s="7"/>
      <c r="S12" s="7"/>
      <c r="T12" s="7"/>
      <c r="U12" s="7"/>
      <c r="V12" s="7"/>
      <c r="W12" s="7"/>
      <c r="X12" s="7"/>
      <c r="Y12" s="7"/>
      <c r="Z12" s="7"/>
    </row>
    <row r="13" ht="14.25" customHeight="1">
      <c r="A13" s="80"/>
      <c r="B13" s="80"/>
      <c r="C13" s="7"/>
      <c r="D13" s="7"/>
      <c r="E13" s="7"/>
      <c r="F13" s="7"/>
      <c r="G13" s="111"/>
      <c r="H13" s="7"/>
      <c r="I13" s="55"/>
      <c r="J13" s="7"/>
      <c r="K13" s="7"/>
      <c r="L13" s="7"/>
      <c r="M13" s="7"/>
      <c r="N13" s="7"/>
      <c r="O13" s="7"/>
      <c r="P13" s="7"/>
      <c r="Q13" s="7"/>
      <c r="R13" s="7"/>
      <c r="S13" s="7"/>
      <c r="T13" s="7"/>
      <c r="U13" s="7"/>
      <c r="V13" s="7"/>
      <c r="W13" s="7"/>
      <c r="X13" s="7"/>
      <c r="Y13" s="7"/>
      <c r="Z13" s="7"/>
    </row>
    <row r="14" ht="14.25" customHeight="1">
      <c r="A14" s="109" t="s">
        <v>430</v>
      </c>
      <c r="B14" s="109" t="s">
        <v>431</v>
      </c>
      <c r="C14" s="7" t="s">
        <v>272</v>
      </c>
      <c r="D14" s="7" t="s">
        <v>420</v>
      </c>
      <c r="E14" s="7" t="s">
        <v>163</v>
      </c>
      <c r="F14" s="7" t="s">
        <v>432</v>
      </c>
      <c r="G14" s="131">
        <v>1.0</v>
      </c>
      <c r="H14" s="7"/>
      <c r="I14" s="55" t="str">
        <f>IFERROR(VLOOKUP('Answer Sheet'!U16,F14:G17,2,FALSE),"0")</f>
        <v>0</v>
      </c>
      <c r="J14" s="7"/>
      <c r="K14" s="7"/>
      <c r="L14" s="7"/>
      <c r="M14" s="7"/>
      <c r="N14" s="7"/>
      <c r="O14" s="7"/>
      <c r="P14" s="7"/>
      <c r="Q14" s="7"/>
      <c r="R14" s="7"/>
      <c r="S14" s="7"/>
      <c r="T14" s="7"/>
      <c r="U14" s="7"/>
      <c r="V14" s="7"/>
      <c r="W14" s="7"/>
      <c r="X14" s="7"/>
      <c r="Y14" s="7"/>
      <c r="Z14" s="7"/>
    </row>
    <row r="15" ht="14.25" customHeight="1">
      <c r="C15" s="7" t="s">
        <v>422</v>
      </c>
      <c r="D15" s="7" t="s">
        <v>182</v>
      </c>
      <c r="E15" s="7" t="s">
        <v>185</v>
      </c>
      <c r="F15" s="7" t="s">
        <v>433</v>
      </c>
      <c r="G15" s="131">
        <v>1.0</v>
      </c>
      <c r="H15" s="7"/>
      <c r="I15" s="55"/>
      <c r="J15" s="7"/>
      <c r="K15" s="7"/>
      <c r="L15" s="7"/>
      <c r="M15" s="7"/>
      <c r="N15" s="7"/>
      <c r="O15" s="7"/>
      <c r="P15" s="7"/>
      <c r="Q15" s="7"/>
      <c r="R15" s="7"/>
      <c r="S15" s="7"/>
      <c r="T15" s="7"/>
      <c r="U15" s="7"/>
      <c r="V15" s="7"/>
      <c r="W15" s="7"/>
      <c r="X15" s="7"/>
      <c r="Y15" s="7"/>
      <c r="Z15" s="7"/>
    </row>
    <row r="16" ht="14.25" customHeight="1">
      <c r="C16" s="7" t="s">
        <v>424</v>
      </c>
      <c r="D16" s="7" t="s">
        <v>181</v>
      </c>
      <c r="E16" s="7" t="s">
        <v>168</v>
      </c>
      <c r="F16" s="7" t="s">
        <v>434</v>
      </c>
      <c r="G16" s="132">
        <v>2.0</v>
      </c>
      <c r="H16" s="7" t="s">
        <v>435</v>
      </c>
      <c r="I16" s="55"/>
      <c r="J16" s="7"/>
      <c r="K16" s="7"/>
      <c r="L16" s="7"/>
      <c r="M16" s="7"/>
      <c r="N16" s="7"/>
      <c r="O16" s="7"/>
      <c r="P16" s="7"/>
      <c r="Q16" s="7"/>
      <c r="R16" s="7"/>
      <c r="S16" s="7"/>
      <c r="T16" s="7"/>
      <c r="U16" s="7"/>
      <c r="V16" s="7"/>
      <c r="W16" s="7"/>
      <c r="X16" s="7"/>
      <c r="Y16" s="7"/>
      <c r="Z16" s="7"/>
    </row>
    <row r="17" ht="14.25" customHeight="1">
      <c r="C17" s="7" t="s">
        <v>427</v>
      </c>
      <c r="D17" s="7" t="s">
        <v>185</v>
      </c>
      <c r="E17" s="7" t="s">
        <v>313</v>
      </c>
      <c r="F17" s="7" t="s">
        <v>436</v>
      </c>
      <c r="G17" s="163">
        <v>3.0</v>
      </c>
      <c r="H17" s="7" t="s">
        <v>437</v>
      </c>
      <c r="I17" s="55"/>
      <c r="J17" s="7"/>
      <c r="K17" s="7"/>
      <c r="L17" s="7"/>
      <c r="M17" s="7"/>
      <c r="N17" s="7"/>
      <c r="O17" s="7"/>
      <c r="P17" s="7"/>
      <c r="Q17" s="7"/>
      <c r="R17" s="7"/>
      <c r="S17" s="7"/>
      <c r="T17" s="7"/>
      <c r="U17" s="7"/>
      <c r="V17" s="7"/>
      <c r="W17" s="7"/>
      <c r="X17" s="7"/>
      <c r="Y17" s="7"/>
      <c r="Z17" s="7"/>
    </row>
    <row r="18" ht="14.25" customHeight="1">
      <c r="A18" s="80"/>
      <c r="B18" s="80"/>
      <c r="C18" s="7"/>
      <c r="D18" s="7"/>
      <c r="E18" s="7"/>
      <c r="F18" s="7"/>
      <c r="G18" s="111"/>
      <c r="H18" s="7"/>
      <c r="I18" s="55"/>
      <c r="J18" s="7"/>
      <c r="K18" s="7"/>
      <c r="L18" s="7"/>
      <c r="M18" s="7"/>
      <c r="N18" s="7"/>
      <c r="O18" s="7"/>
      <c r="P18" s="7"/>
      <c r="Q18" s="7"/>
      <c r="R18" s="7"/>
      <c r="S18" s="7"/>
      <c r="T18" s="7"/>
      <c r="U18" s="7"/>
      <c r="V18" s="7"/>
      <c r="W18" s="7"/>
      <c r="X18" s="7"/>
      <c r="Y18" s="7"/>
      <c r="Z18" s="7"/>
    </row>
    <row r="19" ht="14.25" customHeight="1">
      <c r="A19" s="109" t="s">
        <v>438</v>
      </c>
      <c r="B19" s="109" t="s">
        <v>439</v>
      </c>
      <c r="C19" s="7" t="s">
        <v>440</v>
      </c>
      <c r="D19" s="7" t="s">
        <v>339</v>
      </c>
      <c r="E19" s="7" t="s">
        <v>163</v>
      </c>
      <c r="F19" s="7" t="s">
        <v>441</v>
      </c>
      <c r="G19" s="131">
        <v>1.0</v>
      </c>
      <c r="H19" s="7"/>
      <c r="I19" s="55" t="str">
        <f>IFERROR(VLOOKUP('Answer Sheet'!U17,F19:G23,2,FALSE),"0")</f>
        <v>0</v>
      </c>
      <c r="J19" s="7"/>
      <c r="K19" s="7"/>
      <c r="L19" s="7"/>
      <c r="M19" s="7"/>
      <c r="N19" s="7"/>
      <c r="O19" s="7"/>
      <c r="P19" s="7"/>
      <c r="Q19" s="7"/>
      <c r="R19" s="7"/>
      <c r="S19" s="7"/>
      <c r="T19" s="7"/>
      <c r="U19" s="7"/>
      <c r="V19" s="7"/>
      <c r="W19" s="7"/>
      <c r="X19" s="7"/>
      <c r="Y19" s="7"/>
      <c r="Z19" s="7"/>
    </row>
    <row r="20" ht="14.25" customHeight="1">
      <c r="C20" s="7" t="s">
        <v>442</v>
      </c>
      <c r="D20" s="7" t="s">
        <v>182</v>
      </c>
      <c r="E20" s="7" t="s">
        <v>181</v>
      </c>
      <c r="F20" s="7" t="s">
        <v>443</v>
      </c>
      <c r="G20" s="131">
        <v>1.0</v>
      </c>
      <c r="H20" s="7"/>
      <c r="I20" s="55"/>
      <c r="J20" s="7"/>
      <c r="K20" s="7"/>
      <c r="L20" s="7"/>
      <c r="M20" s="7"/>
      <c r="N20" s="7"/>
      <c r="O20" s="7"/>
      <c r="P20" s="7"/>
      <c r="Q20" s="7"/>
      <c r="R20" s="7"/>
      <c r="S20" s="7"/>
      <c r="T20" s="7"/>
      <c r="U20" s="7"/>
      <c r="V20" s="7"/>
      <c r="W20" s="7"/>
      <c r="X20" s="7"/>
      <c r="Y20" s="7"/>
      <c r="Z20" s="7"/>
    </row>
    <row r="21" ht="14.25" customHeight="1">
      <c r="C21" s="7" t="s">
        <v>444</v>
      </c>
      <c r="D21" s="7" t="s">
        <v>185</v>
      </c>
      <c r="E21" s="7" t="s">
        <v>257</v>
      </c>
      <c r="F21" s="7" t="s">
        <v>445</v>
      </c>
      <c r="G21" s="132">
        <v>2.0</v>
      </c>
      <c r="H21" s="7" t="s">
        <v>446</v>
      </c>
      <c r="I21" s="55"/>
      <c r="J21" s="7"/>
      <c r="K21" s="7"/>
      <c r="L21" s="7"/>
      <c r="M21" s="7"/>
      <c r="N21" s="7"/>
      <c r="O21" s="7"/>
      <c r="P21" s="7"/>
      <c r="Q21" s="7"/>
      <c r="R21" s="7"/>
      <c r="S21" s="7"/>
      <c r="T21" s="7"/>
      <c r="U21" s="7"/>
      <c r="V21" s="7"/>
      <c r="W21" s="7"/>
      <c r="X21" s="7"/>
      <c r="Y21" s="7"/>
      <c r="Z21" s="7"/>
    </row>
    <row r="22" ht="14.25" customHeight="1">
      <c r="C22" s="7" t="s">
        <v>447</v>
      </c>
      <c r="D22" s="7" t="s">
        <v>185</v>
      </c>
      <c r="E22" s="7" t="s">
        <v>313</v>
      </c>
      <c r="F22" s="7" t="s">
        <v>448</v>
      </c>
      <c r="G22" s="163">
        <v>3.0</v>
      </c>
      <c r="H22" s="7" t="s">
        <v>449</v>
      </c>
      <c r="I22" s="55"/>
      <c r="J22" s="7"/>
      <c r="K22" s="7"/>
      <c r="L22" s="7"/>
      <c r="M22" s="7"/>
      <c r="N22" s="7"/>
      <c r="O22" s="7"/>
      <c r="P22" s="7"/>
      <c r="Q22" s="7"/>
      <c r="R22" s="7"/>
      <c r="S22" s="7"/>
      <c r="T22" s="7"/>
      <c r="U22" s="7"/>
      <c r="V22" s="7"/>
      <c r="W22" s="7"/>
      <c r="X22" s="7"/>
      <c r="Y22" s="7"/>
      <c r="Z22" s="7"/>
    </row>
    <row r="23" ht="14.25" customHeight="1">
      <c r="C23" s="7" t="s">
        <v>450</v>
      </c>
      <c r="D23" s="7" t="s">
        <v>172</v>
      </c>
      <c r="E23" s="7" t="s">
        <v>451</v>
      </c>
      <c r="F23" s="7" t="s">
        <v>452</v>
      </c>
      <c r="G23" s="133">
        <v>4.0</v>
      </c>
      <c r="H23" s="7" t="s">
        <v>453</v>
      </c>
      <c r="I23" s="55"/>
      <c r="J23" s="7"/>
      <c r="K23" s="7"/>
      <c r="L23" s="7"/>
      <c r="M23" s="7"/>
      <c r="N23" s="7"/>
      <c r="O23" s="7"/>
      <c r="P23" s="7"/>
      <c r="Q23" s="7"/>
      <c r="R23" s="7"/>
      <c r="S23" s="7"/>
      <c r="T23" s="7"/>
      <c r="U23" s="7"/>
      <c r="V23" s="7"/>
      <c r="W23" s="7"/>
      <c r="X23" s="7"/>
      <c r="Y23" s="7"/>
      <c r="Z23" s="7"/>
    </row>
    <row r="24" ht="14.25" customHeight="1">
      <c r="A24" s="80"/>
      <c r="B24" s="80"/>
      <c r="C24" s="7"/>
      <c r="D24" s="7"/>
      <c r="E24" s="7"/>
      <c r="F24" s="7"/>
      <c r="G24" s="111"/>
      <c r="H24" s="7"/>
      <c r="I24" s="55"/>
      <c r="J24" s="7"/>
      <c r="K24" s="7"/>
      <c r="L24" s="7"/>
      <c r="M24" s="7"/>
      <c r="N24" s="7"/>
      <c r="O24" s="7"/>
      <c r="P24" s="7"/>
      <c r="Q24" s="7"/>
      <c r="R24" s="7"/>
      <c r="S24" s="7"/>
      <c r="T24" s="7"/>
      <c r="U24" s="7"/>
      <c r="V24" s="7"/>
      <c r="W24" s="7"/>
      <c r="X24" s="7"/>
      <c r="Y24" s="7"/>
      <c r="Z24" s="7"/>
    </row>
    <row r="25" ht="14.25" customHeight="1">
      <c r="A25" s="109" t="s">
        <v>454</v>
      </c>
      <c r="B25" s="109" t="s">
        <v>455</v>
      </c>
      <c r="C25" s="7" t="s">
        <v>456</v>
      </c>
      <c r="D25" s="7" t="s">
        <v>339</v>
      </c>
      <c r="E25" s="7" t="s">
        <v>163</v>
      </c>
      <c r="F25" s="7" t="s">
        <v>457</v>
      </c>
      <c r="G25" s="131">
        <v>1.0</v>
      </c>
      <c r="H25" s="7"/>
      <c r="I25" s="55" t="str">
        <f>IFERROR(VLOOKUP('Answer Sheet'!U18,F25:G27,2,FALSE),"0")</f>
        <v>0</v>
      </c>
      <c r="J25" s="7"/>
      <c r="K25" s="7"/>
      <c r="L25" s="7"/>
      <c r="M25" s="7"/>
      <c r="N25" s="7"/>
      <c r="O25" s="7"/>
      <c r="P25" s="7"/>
      <c r="Q25" s="7"/>
      <c r="R25" s="7"/>
      <c r="S25" s="7"/>
      <c r="T25" s="7"/>
      <c r="U25" s="7"/>
      <c r="V25" s="7"/>
      <c r="W25" s="7"/>
      <c r="X25" s="7"/>
      <c r="Y25" s="7"/>
      <c r="Z25" s="7"/>
    </row>
    <row r="26" ht="14.25" customHeight="1">
      <c r="C26" s="7" t="s">
        <v>410</v>
      </c>
      <c r="D26" s="7" t="s">
        <v>185</v>
      </c>
      <c r="E26" s="7" t="s">
        <v>257</v>
      </c>
      <c r="F26" s="7" t="s">
        <v>458</v>
      </c>
      <c r="G26" s="132">
        <v>2.0</v>
      </c>
      <c r="H26" s="7" t="s">
        <v>459</v>
      </c>
      <c r="I26" s="55"/>
      <c r="J26" s="7"/>
      <c r="K26" s="7"/>
      <c r="L26" s="7"/>
      <c r="M26" s="7"/>
      <c r="N26" s="7"/>
      <c r="O26" s="7"/>
      <c r="P26" s="7"/>
      <c r="Q26" s="7"/>
      <c r="R26" s="7"/>
      <c r="S26" s="7"/>
      <c r="T26" s="7"/>
      <c r="U26" s="7"/>
      <c r="V26" s="7"/>
      <c r="W26" s="7"/>
      <c r="X26" s="7"/>
      <c r="Y26" s="7"/>
      <c r="Z26" s="7"/>
    </row>
    <row r="27" ht="14.25" customHeight="1">
      <c r="C27" s="7" t="s">
        <v>460</v>
      </c>
      <c r="D27" s="7" t="s">
        <v>197</v>
      </c>
      <c r="E27" s="7" t="s">
        <v>313</v>
      </c>
      <c r="F27" s="7" t="s">
        <v>461</v>
      </c>
      <c r="G27" s="163">
        <v>3.0</v>
      </c>
      <c r="H27" s="7" t="s">
        <v>462</v>
      </c>
      <c r="I27" s="55"/>
      <c r="J27" s="7"/>
      <c r="K27" s="7"/>
      <c r="L27" s="7"/>
      <c r="M27" s="7"/>
      <c r="N27" s="7"/>
      <c r="O27" s="7"/>
      <c r="P27" s="7"/>
      <c r="Q27" s="7"/>
      <c r="R27" s="7"/>
      <c r="S27" s="7"/>
      <c r="T27" s="7"/>
      <c r="U27" s="7"/>
      <c r="V27" s="7"/>
      <c r="W27" s="7"/>
      <c r="X27" s="7"/>
      <c r="Y27" s="7"/>
      <c r="Z27" s="7"/>
    </row>
    <row r="28" ht="14.25" customHeight="1">
      <c r="A28" s="80"/>
      <c r="B28" s="80"/>
      <c r="C28" s="7"/>
      <c r="D28" s="7"/>
      <c r="E28" s="7"/>
      <c r="F28" s="7"/>
      <c r="G28" s="111"/>
      <c r="H28" s="7"/>
      <c r="I28" s="55"/>
      <c r="J28" s="7"/>
      <c r="K28" s="7"/>
      <c r="L28" s="7"/>
      <c r="M28" s="7"/>
      <c r="N28" s="7"/>
      <c r="O28" s="7"/>
      <c r="P28" s="7"/>
      <c r="Q28" s="7"/>
      <c r="R28" s="7"/>
      <c r="S28" s="7"/>
      <c r="T28" s="7"/>
      <c r="U28" s="7"/>
      <c r="V28" s="7"/>
      <c r="W28" s="7"/>
      <c r="X28" s="7"/>
      <c r="Y28" s="7"/>
      <c r="Z28" s="7"/>
    </row>
    <row r="29" ht="14.25" customHeight="1">
      <c r="A29" s="109" t="s">
        <v>463</v>
      </c>
      <c r="B29" s="109" t="s">
        <v>464</v>
      </c>
      <c r="C29" s="7" t="s">
        <v>456</v>
      </c>
      <c r="D29" s="7" t="s">
        <v>339</v>
      </c>
      <c r="E29" s="7" t="s">
        <v>163</v>
      </c>
      <c r="F29" s="7" t="s">
        <v>465</v>
      </c>
      <c r="G29" s="131">
        <v>1.0</v>
      </c>
      <c r="H29" s="7"/>
      <c r="I29" s="111" t="str">
        <f>IFERROR(VLOOKUP('Answer Sheet'!U19,F29:G31,2,FALSE),"0")</f>
        <v>0</v>
      </c>
      <c r="J29" s="7"/>
      <c r="K29" s="7"/>
      <c r="L29" s="7"/>
      <c r="M29" s="7"/>
      <c r="N29" s="7"/>
      <c r="O29" s="7"/>
      <c r="P29" s="7"/>
      <c r="Q29" s="7"/>
      <c r="R29" s="7"/>
      <c r="S29" s="7"/>
      <c r="T29" s="7"/>
      <c r="U29" s="7"/>
      <c r="V29" s="7"/>
      <c r="W29" s="7"/>
      <c r="X29" s="7"/>
      <c r="Y29" s="7"/>
      <c r="Z29" s="7"/>
    </row>
    <row r="30" ht="14.25" customHeight="1">
      <c r="C30" s="7" t="s">
        <v>410</v>
      </c>
      <c r="D30" s="7" t="s">
        <v>185</v>
      </c>
      <c r="E30" s="7" t="s">
        <v>257</v>
      </c>
      <c r="F30" s="7" t="s">
        <v>466</v>
      </c>
      <c r="G30" s="132">
        <v>2.0</v>
      </c>
      <c r="H30" s="7" t="s">
        <v>467</v>
      </c>
      <c r="I30" s="7"/>
      <c r="J30" s="7"/>
      <c r="K30" s="7"/>
      <c r="L30" s="7"/>
      <c r="M30" s="7"/>
      <c r="N30" s="7"/>
      <c r="O30" s="7"/>
      <c r="P30" s="7"/>
      <c r="Q30" s="7"/>
      <c r="R30" s="7"/>
      <c r="S30" s="7"/>
      <c r="T30" s="7"/>
      <c r="U30" s="7"/>
      <c r="V30" s="7"/>
      <c r="W30" s="7"/>
      <c r="X30" s="7"/>
      <c r="Y30" s="7"/>
      <c r="Z30" s="7"/>
    </row>
    <row r="31" ht="14.25" customHeight="1">
      <c r="C31" s="7" t="s">
        <v>460</v>
      </c>
      <c r="D31" s="7" t="s">
        <v>197</v>
      </c>
      <c r="E31" s="7" t="s">
        <v>313</v>
      </c>
      <c r="F31" s="7" t="s">
        <v>468</v>
      </c>
      <c r="G31" s="163">
        <v>3.0</v>
      </c>
      <c r="H31" s="7" t="s">
        <v>469</v>
      </c>
      <c r="I31" s="7"/>
      <c r="J31" s="7"/>
      <c r="K31" s="7"/>
      <c r="L31" s="7"/>
      <c r="M31" s="7"/>
      <c r="N31" s="7"/>
      <c r="O31" s="7"/>
      <c r="P31" s="7"/>
      <c r="Q31" s="7"/>
      <c r="R31" s="7"/>
      <c r="S31" s="7"/>
      <c r="T31" s="7"/>
      <c r="U31" s="7"/>
      <c r="V31" s="7"/>
      <c r="W31" s="7"/>
      <c r="X31" s="7"/>
      <c r="Y31" s="7"/>
      <c r="Z31" s="7"/>
    </row>
    <row r="32" ht="14.25" customHeight="1">
      <c r="A32" s="80"/>
      <c r="B32" s="80"/>
      <c r="C32" s="7"/>
      <c r="D32" s="7"/>
      <c r="E32" s="7"/>
      <c r="F32" s="7"/>
      <c r="G32" s="111"/>
      <c r="H32" s="7"/>
      <c r="I32" s="111"/>
      <c r="J32" s="7"/>
      <c r="K32" s="7"/>
      <c r="L32" s="7"/>
      <c r="M32" s="7"/>
      <c r="N32" s="7"/>
      <c r="O32" s="7"/>
      <c r="P32" s="7"/>
      <c r="Q32" s="7"/>
      <c r="R32" s="7"/>
      <c r="S32" s="7"/>
      <c r="T32" s="7"/>
      <c r="U32" s="7"/>
      <c r="V32" s="7"/>
      <c r="W32" s="7"/>
      <c r="X32" s="7"/>
      <c r="Y32" s="7"/>
      <c r="Z32" s="7"/>
    </row>
    <row r="33" ht="14.25" customHeight="1">
      <c r="A33" s="109" t="s">
        <v>470</v>
      </c>
      <c r="B33" s="109" t="s">
        <v>471</v>
      </c>
      <c r="C33" s="7" t="s">
        <v>178</v>
      </c>
      <c r="D33" s="7" t="s">
        <v>339</v>
      </c>
      <c r="E33" s="7" t="s">
        <v>163</v>
      </c>
      <c r="F33" s="7" t="s">
        <v>472</v>
      </c>
      <c r="G33" s="131">
        <v>1.0</v>
      </c>
      <c r="H33" s="7"/>
      <c r="I33" s="111" t="str">
        <f>IFERROR(VLOOKUP('Answer Sheet'!U20,F33:G36,2,FALSE),"0")</f>
        <v>0</v>
      </c>
      <c r="J33" s="7"/>
      <c r="K33" s="7"/>
      <c r="L33" s="7"/>
      <c r="M33" s="7"/>
      <c r="N33" s="7"/>
      <c r="O33" s="7"/>
      <c r="P33" s="7"/>
      <c r="Q33" s="7"/>
      <c r="R33" s="7"/>
      <c r="S33" s="7"/>
      <c r="T33" s="7"/>
      <c r="U33" s="7"/>
      <c r="V33" s="7"/>
      <c r="W33" s="7"/>
      <c r="X33" s="7"/>
      <c r="Y33" s="7"/>
      <c r="Z33" s="7"/>
    </row>
    <row r="34" ht="14.25" customHeight="1">
      <c r="C34" s="7" t="s">
        <v>212</v>
      </c>
      <c r="D34" s="7" t="s">
        <v>181</v>
      </c>
      <c r="E34" s="7" t="s">
        <v>257</v>
      </c>
      <c r="F34" s="7" t="s">
        <v>473</v>
      </c>
      <c r="G34" s="132">
        <v>2.0</v>
      </c>
      <c r="H34" s="7" t="s">
        <v>474</v>
      </c>
      <c r="I34" s="111"/>
      <c r="J34" s="7"/>
      <c r="K34" s="7"/>
      <c r="L34" s="7"/>
      <c r="M34" s="7"/>
      <c r="N34" s="7"/>
      <c r="O34" s="7"/>
      <c r="P34" s="7"/>
      <c r="Q34" s="7"/>
      <c r="R34" s="7"/>
      <c r="S34" s="7"/>
      <c r="T34" s="7"/>
      <c r="U34" s="7"/>
      <c r="V34" s="7"/>
      <c r="W34" s="7"/>
      <c r="X34" s="7"/>
      <c r="Y34" s="7"/>
      <c r="Z34" s="7"/>
    </row>
    <row r="35" ht="14.25" customHeight="1">
      <c r="C35" s="7" t="s">
        <v>475</v>
      </c>
      <c r="D35" s="7" t="s">
        <v>167</v>
      </c>
      <c r="E35" s="7" t="s">
        <v>168</v>
      </c>
      <c r="F35" s="7" t="s">
        <v>476</v>
      </c>
      <c r="G35" s="163">
        <v>3.0</v>
      </c>
      <c r="H35" s="7" t="s">
        <v>477</v>
      </c>
      <c r="I35" s="7"/>
      <c r="J35" s="7"/>
      <c r="K35" s="7"/>
      <c r="L35" s="7"/>
      <c r="M35" s="7"/>
      <c r="N35" s="7"/>
      <c r="O35" s="7"/>
      <c r="P35" s="7"/>
      <c r="Q35" s="7"/>
      <c r="R35" s="7"/>
      <c r="S35" s="7"/>
      <c r="T35" s="7"/>
      <c r="U35" s="7"/>
      <c r="V35" s="7"/>
      <c r="W35" s="7"/>
      <c r="X35" s="7"/>
      <c r="Y35" s="7"/>
      <c r="Z35" s="7"/>
    </row>
    <row r="36" ht="14.25" customHeight="1">
      <c r="C36" s="7" t="s">
        <v>478</v>
      </c>
      <c r="D36" s="7" t="s">
        <v>172</v>
      </c>
      <c r="E36" s="7" t="s">
        <v>189</v>
      </c>
      <c r="F36" s="7" t="s">
        <v>479</v>
      </c>
      <c r="G36" s="133">
        <v>4.0</v>
      </c>
      <c r="H36" s="7" t="s">
        <v>480</v>
      </c>
      <c r="I36" s="55"/>
      <c r="J36" s="7"/>
      <c r="K36" s="7"/>
      <c r="L36" s="7"/>
      <c r="M36" s="7"/>
      <c r="N36" s="7"/>
      <c r="O36" s="7"/>
      <c r="P36" s="7"/>
      <c r="Q36" s="7"/>
      <c r="R36" s="7"/>
      <c r="S36" s="7"/>
      <c r="T36" s="7"/>
      <c r="U36" s="7"/>
      <c r="V36" s="7"/>
      <c r="W36" s="7"/>
      <c r="X36" s="7"/>
      <c r="Y36" s="7"/>
      <c r="Z36" s="7"/>
    </row>
    <row r="37" ht="14.25" customHeight="1">
      <c r="A37" s="80"/>
      <c r="B37" s="80"/>
      <c r="C37" s="7"/>
      <c r="D37" s="7"/>
      <c r="E37" s="7"/>
      <c r="F37" s="7"/>
      <c r="G37" s="111"/>
      <c r="H37" s="7"/>
      <c r="I37" s="7"/>
      <c r="J37" s="7"/>
      <c r="K37" s="7"/>
      <c r="L37" s="7"/>
      <c r="M37" s="7"/>
      <c r="N37" s="7"/>
      <c r="O37" s="7"/>
      <c r="P37" s="7"/>
      <c r="Q37" s="7"/>
      <c r="R37" s="7"/>
      <c r="S37" s="7"/>
      <c r="T37" s="7"/>
      <c r="U37" s="7"/>
      <c r="V37" s="7"/>
      <c r="W37" s="7"/>
      <c r="X37" s="7"/>
      <c r="Y37" s="7"/>
      <c r="Z37" s="7"/>
    </row>
    <row r="38" ht="14.25" customHeight="1">
      <c r="A38" s="109" t="s">
        <v>481</v>
      </c>
      <c r="B38" s="109" t="s">
        <v>482</v>
      </c>
      <c r="C38" s="7" t="s">
        <v>272</v>
      </c>
      <c r="D38" s="7" t="s">
        <v>339</v>
      </c>
      <c r="E38" s="7" t="s">
        <v>163</v>
      </c>
      <c r="F38" s="7" t="s">
        <v>483</v>
      </c>
      <c r="G38" s="131">
        <v>1.0</v>
      </c>
      <c r="H38" s="7"/>
      <c r="I38" s="55" t="str">
        <f>IFERROR(VLOOKUP('Answer Sheet'!U21,F38:G41,2,FALSE),"0")</f>
        <v>0</v>
      </c>
      <c r="J38" s="7"/>
      <c r="K38" s="7"/>
      <c r="L38" s="7"/>
      <c r="M38" s="7"/>
      <c r="N38" s="7"/>
      <c r="O38" s="7"/>
      <c r="P38" s="7"/>
      <c r="Q38" s="7"/>
      <c r="R38" s="7"/>
      <c r="S38" s="7"/>
      <c r="T38" s="7"/>
      <c r="U38" s="7"/>
      <c r="V38" s="7"/>
      <c r="W38" s="7"/>
      <c r="X38" s="7"/>
      <c r="Y38" s="7"/>
      <c r="Z38" s="7"/>
    </row>
    <row r="39" ht="14.25" customHeight="1">
      <c r="C39" s="7" t="s">
        <v>484</v>
      </c>
      <c r="D39" s="7" t="s">
        <v>182</v>
      </c>
      <c r="E39" s="7" t="s">
        <v>265</v>
      </c>
      <c r="F39" s="7" t="s">
        <v>485</v>
      </c>
      <c r="G39" s="131">
        <v>1.0</v>
      </c>
      <c r="H39" s="7"/>
      <c r="I39" s="7"/>
      <c r="J39" s="7"/>
      <c r="K39" s="7"/>
      <c r="L39" s="7"/>
      <c r="M39" s="7"/>
      <c r="N39" s="7"/>
      <c r="O39" s="7"/>
      <c r="P39" s="7"/>
      <c r="Q39" s="7"/>
      <c r="R39" s="7"/>
      <c r="S39" s="7"/>
      <c r="T39" s="7"/>
      <c r="U39" s="7"/>
      <c r="V39" s="7"/>
      <c r="W39" s="7"/>
      <c r="X39" s="7"/>
      <c r="Y39" s="7"/>
      <c r="Z39" s="7"/>
    </row>
    <row r="40" ht="14.25" customHeight="1">
      <c r="C40" s="7" t="s">
        <v>486</v>
      </c>
      <c r="D40" s="7" t="s">
        <v>185</v>
      </c>
      <c r="E40" s="7" t="s">
        <v>257</v>
      </c>
      <c r="F40" s="7" t="s">
        <v>487</v>
      </c>
      <c r="G40" s="132">
        <v>2.0</v>
      </c>
      <c r="H40" s="7" t="s">
        <v>488</v>
      </c>
      <c r="I40" s="7"/>
      <c r="J40" s="7"/>
      <c r="K40" s="7"/>
      <c r="L40" s="7"/>
      <c r="M40" s="7"/>
      <c r="N40" s="7"/>
      <c r="O40" s="7"/>
      <c r="P40" s="7"/>
      <c r="Q40" s="7"/>
      <c r="R40" s="7"/>
      <c r="S40" s="7"/>
      <c r="T40" s="7"/>
      <c r="U40" s="7"/>
      <c r="V40" s="7"/>
      <c r="W40" s="7"/>
      <c r="X40" s="7"/>
      <c r="Y40" s="7"/>
      <c r="Z40" s="7"/>
    </row>
    <row r="41" ht="14.25" customHeight="1">
      <c r="C41" s="7" t="s">
        <v>489</v>
      </c>
      <c r="D41" s="7" t="s">
        <v>197</v>
      </c>
      <c r="E41" s="7" t="s">
        <v>313</v>
      </c>
      <c r="F41" s="7" t="s">
        <v>490</v>
      </c>
      <c r="G41" s="163">
        <v>3.0</v>
      </c>
      <c r="H41" s="7" t="s">
        <v>491</v>
      </c>
      <c r="I41" s="7"/>
      <c r="J41" s="7"/>
      <c r="K41" s="7"/>
      <c r="L41" s="7"/>
      <c r="M41" s="7"/>
      <c r="N41" s="7"/>
      <c r="O41" s="7"/>
      <c r="P41" s="7"/>
      <c r="Q41" s="7"/>
      <c r="R41" s="7"/>
      <c r="S41" s="7"/>
      <c r="T41" s="7"/>
      <c r="U41" s="7"/>
      <c r="V41" s="7"/>
      <c r="W41" s="7"/>
      <c r="X41" s="7"/>
      <c r="Y41" s="7"/>
      <c r="Z41" s="7"/>
    </row>
    <row r="42" ht="14.25" customHeight="1">
      <c r="A42" s="80"/>
      <c r="B42" s="80"/>
      <c r="C42" s="7"/>
      <c r="D42" s="7"/>
      <c r="E42" s="7"/>
      <c r="F42" s="7"/>
      <c r="G42" s="111"/>
      <c r="H42" s="7"/>
      <c r="I42" s="7"/>
      <c r="J42" s="7"/>
      <c r="K42" s="7"/>
      <c r="L42" s="7"/>
      <c r="M42" s="7"/>
      <c r="N42" s="7"/>
      <c r="O42" s="7"/>
      <c r="P42" s="7"/>
      <c r="Q42" s="7"/>
      <c r="R42" s="7"/>
      <c r="S42" s="7"/>
      <c r="T42" s="7"/>
      <c r="U42" s="7"/>
      <c r="V42" s="7"/>
      <c r="W42" s="7"/>
      <c r="X42" s="7"/>
      <c r="Y42" s="7"/>
      <c r="Z42" s="7"/>
    </row>
    <row r="43" ht="14.25" customHeight="1">
      <c r="A43" s="7"/>
      <c r="B43" s="7"/>
      <c r="C43" s="7"/>
      <c r="D43" s="7"/>
      <c r="E43" s="7"/>
      <c r="F43" s="7"/>
      <c r="G43" s="7"/>
      <c r="H43" s="7"/>
      <c r="I43" s="7"/>
      <c r="J43" s="7"/>
      <c r="K43" s="7"/>
      <c r="L43" s="7"/>
      <c r="M43" s="7"/>
      <c r="N43" s="7"/>
      <c r="O43" s="7"/>
      <c r="P43" s="7"/>
      <c r="Q43" s="7"/>
      <c r="R43" s="7"/>
      <c r="S43" s="7"/>
      <c r="T43" s="7"/>
      <c r="U43" s="7"/>
      <c r="V43" s="7"/>
      <c r="W43" s="7"/>
      <c r="X43" s="7"/>
      <c r="Y43" s="7"/>
      <c r="Z43" s="7"/>
    </row>
    <row r="44" ht="14.25" customHeight="1">
      <c r="A44" s="109"/>
      <c r="B44" s="109"/>
      <c r="C44" s="7"/>
      <c r="D44" s="7"/>
      <c r="E44" s="7"/>
      <c r="F44" s="7"/>
      <c r="G44" s="111"/>
      <c r="H44" s="7"/>
      <c r="I44" s="111"/>
      <c r="J44" s="7"/>
      <c r="K44" s="7"/>
      <c r="L44" s="7"/>
      <c r="M44" s="7"/>
      <c r="N44" s="7"/>
      <c r="O44" s="7"/>
      <c r="P44" s="7"/>
      <c r="Q44" s="7"/>
      <c r="R44" s="7"/>
      <c r="S44" s="7"/>
      <c r="T44" s="7"/>
      <c r="U44" s="7"/>
      <c r="V44" s="7"/>
      <c r="W44" s="7"/>
      <c r="X44" s="7"/>
      <c r="Y44" s="7"/>
      <c r="Z44" s="7"/>
    </row>
    <row r="45" ht="14.25" customHeight="1">
      <c r="C45" s="7"/>
      <c r="D45" s="7"/>
      <c r="E45" s="7"/>
      <c r="F45" s="7"/>
      <c r="G45" s="111"/>
      <c r="H45" s="7"/>
      <c r="I45" s="7"/>
      <c r="J45" s="7"/>
      <c r="K45" s="7"/>
      <c r="L45" s="7"/>
      <c r="M45" s="7"/>
      <c r="N45" s="7"/>
      <c r="O45" s="7"/>
      <c r="P45" s="7"/>
      <c r="Q45" s="7"/>
      <c r="R45" s="7"/>
      <c r="S45" s="7"/>
      <c r="T45" s="7"/>
      <c r="U45" s="7"/>
      <c r="V45" s="7"/>
      <c r="W45" s="7"/>
      <c r="X45" s="7"/>
      <c r="Y45" s="7"/>
      <c r="Z45" s="7"/>
    </row>
    <row r="46" ht="14.25" customHeight="1">
      <c r="C46" s="7"/>
      <c r="D46" s="7"/>
      <c r="E46" s="7"/>
      <c r="F46" s="7"/>
      <c r="G46" s="111"/>
      <c r="H46" s="7"/>
      <c r="I46" s="55">
        <f>SUM(I4:I39)</f>
        <v>0</v>
      </c>
      <c r="J46" s="7"/>
      <c r="K46" s="7"/>
      <c r="L46" s="7"/>
      <c r="M46" s="7"/>
      <c r="N46" s="7"/>
      <c r="O46" s="7"/>
      <c r="P46" s="7"/>
      <c r="Q46" s="7"/>
      <c r="R46" s="7"/>
      <c r="S46" s="7"/>
      <c r="T46" s="7"/>
      <c r="U46" s="7"/>
      <c r="V46" s="7"/>
      <c r="W46" s="7"/>
      <c r="X46" s="7"/>
      <c r="Y46" s="7"/>
      <c r="Z46" s="7"/>
    </row>
    <row r="47" ht="14.25" customHeight="1">
      <c r="A47" s="7"/>
      <c r="B47" s="7"/>
      <c r="C47" s="7"/>
      <c r="D47" s="7"/>
      <c r="E47" s="7"/>
      <c r="F47" s="7"/>
      <c r="G47" s="7"/>
      <c r="H47" s="7"/>
      <c r="I47" s="55">
        <f>COUNTIF(I5:I44,"&gt;0.9")</f>
        <v>0</v>
      </c>
      <c r="J47" s="7"/>
      <c r="K47" s="7"/>
      <c r="L47" s="7"/>
      <c r="M47" s="7"/>
      <c r="N47" s="7"/>
      <c r="O47" s="7"/>
      <c r="P47" s="7"/>
      <c r="Q47" s="7"/>
      <c r="R47" s="7"/>
      <c r="S47" s="7"/>
      <c r="T47" s="7"/>
      <c r="U47" s="7"/>
      <c r="V47" s="7"/>
      <c r="W47" s="7"/>
      <c r="X47" s="7"/>
      <c r="Y47" s="7"/>
      <c r="Z47" s="7"/>
    </row>
    <row r="48" ht="14.25" customHeight="1">
      <c r="A48" s="7"/>
      <c r="B48" s="7"/>
      <c r="C48" s="7"/>
      <c r="D48" s="7"/>
      <c r="E48" s="7"/>
      <c r="F48" s="7"/>
      <c r="G48" s="7"/>
      <c r="H48" s="130" t="s">
        <v>219</v>
      </c>
      <c r="I48" s="55" t="str">
        <f>IFERROR(ROUND(I46/I47,1),"0")</f>
        <v>0</v>
      </c>
      <c r="J48" s="7"/>
      <c r="K48" s="7"/>
      <c r="L48" s="7"/>
      <c r="M48" s="7"/>
      <c r="N48" s="7"/>
      <c r="O48" s="7"/>
      <c r="P48" s="7"/>
      <c r="Q48" s="7"/>
      <c r="R48" s="7"/>
      <c r="S48" s="7"/>
      <c r="T48" s="7"/>
      <c r="U48" s="7"/>
      <c r="V48" s="7"/>
      <c r="W48" s="7"/>
      <c r="X48" s="7"/>
      <c r="Y48" s="7"/>
      <c r="Z48" s="7"/>
    </row>
    <row r="49" ht="14.25" customHeight="1">
      <c r="A49" s="7"/>
      <c r="B49" s="7"/>
      <c r="C49" s="7"/>
      <c r="D49" s="7"/>
      <c r="E49" s="7"/>
      <c r="F49" s="7"/>
      <c r="G49" s="7"/>
      <c r="H49" s="7"/>
      <c r="I49" s="7"/>
      <c r="J49" s="7"/>
      <c r="K49" s="7"/>
      <c r="L49" s="7"/>
      <c r="M49" s="7"/>
      <c r="N49" s="7"/>
      <c r="O49" s="7"/>
      <c r="P49" s="7"/>
      <c r="Q49" s="7"/>
      <c r="R49" s="7"/>
      <c r="S49" s="7"/>
      <c r="T49" s="7"/>
      <c r="U49" s="7"/>
      <c r="V49" s="7"/>
      <c r="W49" s="7"/>
      <c r="X49" s="7"/>
      <c r="Y49" s="7"/>
      <c r="Z49" s="7"/>
    </row>
    <row r="50" ht="14.25" customHeight="1">
      <c r="A50" s="7"/>
      <c r="B50" s="7"/>
      <c r="C50" s="7"/>
      <c r="D50" s="7"/>
      <c r="E50" s="7"/>
      <c r="F50" s="7"/>
      <c r="G50" s="7"/>
      <c r="H50" s="7"/>
      <c r="I50" s="7"/>
      <c r="J50" s="7"/>
      <c r="K50" s="7"/>
      <c r="L50" s="7"/>
      <c r="M50" s="7"/>
      <c r="N50" s="7"/>
      <c r="O50" s="7"/>
      <c r="P50" s="7"/>
      <c r="Q50" s="7"/>
      <c r="R50" s="7"/>
      <c r="S50" s="7"/>
      <c r="T50" s="7"/>
      <c r="U50" s="7"/>
      <c r="V50" s="7"/>
      <c r="W50" s="7"/>
      <c r="X50" s="7"/>
      <c r="Y50" s="7"/>
      <c r="Z50" s="7"/>
    </row>
    <row r="51" ht="14.25" customHeight="1">
      <c r="A51" s="7"/>
      <c r="B51" s="7"/>
      <c r="C51" s="7"/>
      <c r="D51" s="7"/>
      <c r="E51" s="7"/>
      <c r="F51" s="7"/>
      <c r="G51" s="7"/>
      <c r="H51" s="7"/>
      <c r="I51" s="7"/>
      <c r="J51" s="7"/>
      <c r="K51" s="7"/>
      <c r="L51" s="7"/>
      <c r="M51" s="7"/>
      <c r="N51" s="7"/>
      <c r="O51" s="7"/>
      <c r="P51" s="7"/>
      <c r="Q51" s="7"/>
      <c r="R51" s="7"/>
      <c r="S51" s="7"/>
      <c r="T51" s="7"/>
      <c r="U51" s="7"/>
      <c r="V51" s="7"/>
      <c r="W51" s="7"/>
      <c r="X51" s="7"/>
      <c r="Y51" s="7"/>
      <c r="Z51" s="7"/>
    </row>
    <row r="52" ht="14.25" customHeight="1">
      <c r="A52" s="135" t="s">
        <v>220</v>
      </c>
      <c r="K52" s="7"/>
      <c r="L52" s="7"/>
      <c r="M52" s="7"/>
      <c r="N52" s="7"/>
      <c r="O52" s="7"/>
      <c r="P52" s="7"/>
      <c r="Q52" s="7"/>
      <c r="R52" s="7"/>
      <c r="S52" s="7"/>
      <c r="T52" s="7"/>
      <c r="U52" s="7"/>
      <c r="V52" s="7"/>
      <c r="W52" s="7"/>
      <c r="X52" s="7"/>
      <c r="Y52" s="7"/>
      <c r="Z52" s="7"/>
    </row>
    <row r="53" ht="14.25" customHeight="1">
      <c r="A53" s="7"/>
      <c r="B53" s="7"/>
      <c r="C53" s="7"/>
      <c r="D53" s="7"/>
      <c r="E53" s="7"/>
      <c r="F53" s="7"/>
      <c r="G53" s="7"/>
      <c r="H53" s="7"/>
      <c r="I53" s="7"/>
      <c r="J53" s="7"/>
      <c r="K53" s="7"/>
      <c r="L53" s="7"/>
      <c r="M53" s="7"/>
      <c r="N53" s="7"/>
      <c r="O53" s="7"/>
      <c r="P53" s="7"/>
      <c r="Q53" s="7"/>
      <c r="R53" s="7"/>
      <c r="S53" s="7"/>
      <c r="T53" s="7"/>
      <c r="U53" s="7"/>
      <c r="V53" s="7"/>
      <c r="W53" s="7"/>
      <c r="X53" s="7"/>
      <c r="Y53" s="7"/>
      <c r="Z53" s="7"/>
    </row>
    <row r="54" ht="14.25" customHeight="1">
      <c r="A54" s="111" t="s">
        <v>221</v>
      </c>
      <c r="B54" s="7" t="s">
        <v>222</v>
      </c>
      <c r="C54" s="7"/>
      <c r="D54" s="7"/>
      <c r="E54" s="7"/>
      <c r="F54" s="7"/>
      <c r="G54" s="7"/>
      <c r="H54" s="7"/>
      <c r="I54" s="7"/>
      <c r="J54" s="7"/>
      <c r="K54" s="7"/>
      <c r="L54" s="7"/>
      <c r="M54" s="7"/>
      <c r="N54" s="7"/>
      <c r="O54" s="7"/>
      <c r="P54" s="7"/>
      <c r="Q54" s="7"/>
      <c r="R54" s="7"/>
      <c r="S54" s="7"/>
      <c r="T54" s="7"/>
      <c r="U54" s="7"/>
      <c r="V54" s="7"/>
      <c r="W54" s="7"/>
      <c r="X54" s="7"/>
      <c r="Y54" s="7"/>
      <c r="Z54" s="7"/>
    </row>
    <row r="55" ht="14.25" customHeight="1">
      <c r="A55" s="136">
        <v>1.0</v>
      </c>
      <c r="B55" s="7" t="s">
        <v>492</v>
      </c>
      <c r="C55" s="7"/>
      <c r="D55" s="7"/>
      <c r="E55" s="7"/>
      <c r="F55" s="7"/>
      <c r="G55" s="7"/>
      <c r="H55" s="7"/>
      <c r="I55" s="7"/>
      <c r="J55" s="7"/>
      <c r="K55" s="7"/>
      <c r="L55" s="7"/>
      <c r="M55" s="7"/>
      <c r="N55" s="7"/>
      <c r="O55" s="7"/>
      <c r="P55" s="7"/>
      <c r="Q55" s="7"/>
      <c r="R55" s="7"/>
      <c r="S55" s="7"/>
      <c r="T55" s="7"/>
      <c r="U55" s="7"/>
      <c r="V55" s="7"/>
      <c r="W55" s="7"/>
      <c r="X55" s="7"/>
      <c r="Y55" s="7"/>
      <c r="Z55" s="7"/>
    </row>
    <row r="56" ht="14.25" customHeight="1">
      <c r="A56" s="136">
        <v>1.2</v>
      </c>
      <c r="B56" s="7" t="s">
        <v>492</v>
      </c>
      <c r="C56" s="7"/>
      <c r="D56" s="7"/>
      <c r="E56" s="7"/>
      <c r="F56" s="7"/>
      <c r="G56" s="7"/>
      <c r="H56" s="7"/>
      <c r="I56" s="7"/>
      <c r="J56" s="7"/>
      <c r="K56" s="7"/>
      <c r="L56" s="7"/>
      <c r="M56" s="7"/>
      <c r="N56" s="7"/>
      <c r="O56" s="7"/>
      <c r="P56" s="7"/>
      <c r="Q56" s="7"/>
      <c r="R56" s="7"/>
      <c r="S56" s="7"/>
      <c r="T56" s="7"/>
      <c r="U56" s="7"/>
      <c r="V56" s="7"/>
      <c r="W56" s="7"/>
      <c r="X56" s="7"/>
      <c r="Y56" s="7"/>
      <c r="Z56" s="7"/>
    </row>
    <row r="57" ht="14.25" customHeight="1">
      <c r="A57" s="136">
        <v>1.3</v>
      </c>
      <c r="B57" s="7" t="s">
        <v>492</v>
      </c>
      <c r="C57" s="7"/>
      <c r="D57" s="7"/>
      <c r="E57" s="7"/>
      <c r="F57" s="7"/>
      <c r="G57" s="7"/>
      <c r="H57" s="7"/>
      <c r="I57" s="7"/>
      <c r="J57" s="7"/>
      <c r="K57" s="7"/>
      <c r="L57" s="7"/>
      <c r="M57" s="7"/>
      <c r="N57" s="7"/>
      <c r="O57" s="7"/>
      <c r="P57" s="7"/>
      <c r="Q57" s="7"/>
      <c r="R57" s="7"/>
      <c r="S57" s="7"/>
      <c r="T57" s="7"/>
      <c r="U57" s="7"/>
      <c r="V57" s="7"/>
      <c r="W57" s="7"/>
      <c r="X57" s="7"/>
      <c r="Y57" s="7"/>
      <c r="Z57" s="7"/>
    </row>
    <row r="58" ht="14.25" customHeight="1">
      <c r="A58" s="136">
        <v>1.4</v>
      </c>
      <c r="B58" s="7" t="s">
        <v>492</v>
      </c>
      <c r="C58" s="7"/>
      <c r="D58" s="7"/>
      <c r="E58" s="7"/>
      <c r="F58" s="7"/>
      <c r="G58" s="7"/>
      <c r="H58" s="7"/>
      <c r="I58" s="7"/>
      <c r="J58" s="7"/>
      <c r="K58" s="7"/>
      <c r="L58" s="7"/>
      <c r="M58" s="7"/>
      <c r="N58" s="7"/>
      <c r="O58" s="7"/>
      <c r="P58" s="7"/>
      <c r="Q58" s="7"/>
      <c r="R58" s="7"/>
      <c r="S58" s="7"/>
      <c r="T58" s="7"/>
      <c r="U58" s="7"/>
      <c r="V58" s="7"/>
      <c r="W58" s="7"/>
      <c r="X58" s="7"/>
      <c r="Y58" s="7"/>
      <c r="Z58" s="7"/>
    </row>
    <row r="59" ht="14.25" customHeight="1">
      <c r="A59" s="137">
        <v>1.5</v>
      </c>
      <c r="B59" s="7" t="s">
        <v>493</v>
      </c>
      <c r="C59" s="7"/>
      <c r="D59" s="7"/>
      <c r="E59" s="7"/>
      <c r="F59" s="7"/>
      <c r="G59" s="7"/>
      <c r="H59" s="7"/>
      <c r="I59" s="7"/>
      <c r="J59" s="7"/>
      <c r="K59" s="7"/>
      <c r="L59" s="7"/>
      <c r="M59" s="7"/>
      <c r="N59" s="7"/>
      <c r="O59" s="7"/>
      <c r="P59" s="7"/>
      <c r="Q59" s="7"/>
      <c r="R59" s="7"/>
      <c r="S59" s="7"/>
      <c r="T59" s="7"/>
      <c r="U59" s="7"/>
      <c r="V59" s="7"/>
      <c r="W59" s="7"/>
      <c r="X59" s="7"/>
      <c r="Y59" s="7"/>
      <c r="Z59" s="7"/>
    </row>
    <row r="60" ht="14.25" customHeight="1">
      <c r="A60" s="137">
        <v>1.6</v>
      </c>
      <c r="B60" s="7" t="s">
        <v>493</v>
      </c>
      <c r="C60" s="7"/>
      <c r="D60" s="7"/>
      <c r="E60" s="7"/>
      <c r="F60" s="7"/>
      <c r="G60" s="7"/>
      <c r="H60" s="7"/>
      <c r="I60" s="7"/>
      <c r="J60" s="7"/>
      <c r="K60" s="7"/>
      <c r="L60" s="7"/>
      <c r="M60" s="7"/>
      <c r="N60" s="7"/>
      <c r="O60" s="7"/>
      <c r="P60" s="7"/>
      <c r="Q60" s="7"/>
      <c r="R60" s="7"/>
      <c r="S60" s="7"/>
      <c r="T60" s="7"/>
      <c r="U60" s="7"/>
      <c r="V60" s="7"/>
      <c r="W60" s="7"/>
      <c r="X60" s="7"/>
      <c r="Y60" s="7"/>
      <c r="Z60" s="7"/>
    </row>
    <row r="61" ht="14.25" customHeight="1">
      <c r="A61" s="137">
        <v>1.7</v>
      </c>
      <c r="B61" s="7" t="s">
        <v>493</v>
      </c>
      <c r="C61" s="7"/>
      <c r="D61" s="7"/>
      <c r="E61" s="7"/>
      <c r="F61" s="7"/>
      <c r="G61" s="7"/>
      <c r="H61" s="7"/>
      <c r="I61" s="7"/>
      <c r="J61" s="7"/>
      <c r="K61" s="7"/>
      <c r="L61" s="7"/>
      <c r="M61" s="7"/>
      <c r="N61" s="7"/>
      <c r="O61" s="7"/>
      <c r="P61" s="7"/>
      <c r="Q61" s="7"/>
      <c r="R61" s="7"/>
      <c r="S61" s="7"/>
      <c r="T61" s="7"/>
      <c r="U61" s="7"/>
      <c r="V61" s="7"/>
      <c r="W61" s="7"/>
      <c r="X61" s="7"/>
      <c r="Y61" s="7"/>
      <c r="Z61" s="7"/>
    </row>
    <row r="62" ht="14.25" customHeight="1">
      <c r="A62" s="137">
        <v>1.8</v>
      </c>
      <c r="B62" s="7" t="s">
        <v>493</v>
      </c>
      <c r="C62" s="7"/>
      <c r="D62" s="7"/>
      <c r="E62" s="7"/>
      <c r="F62" s="7"/>
      <c r="G62" s="7"/>
      <c r="H62" s="7"/>
      <c r="I62" s="7"/>
      <c r="J62" s="7"/>
      <c r="K62" s="7"/>
      <c r="L62" s="7"/>
      <c r="M62" s="7"/>
      <c r="N62" s="7"/>
      <c r="O62" s="7"/>
      <c r="P62" s="7"/>
      <c r="Q62" s="7"/>
      <c r="R62" s="7"/>
      <c r="S62" s="7"/>
      <c r="T62" s="7"/>
      <c r="U62" s="7"/>
      <c r="V62" s="7"/>
      <c r="W62" s="7"/>
      <c r="X62" s="7"/>
      <c r="Y62" s="7"/>
      <c r="Z62" s="7"/>
    </row>
    <row r="63" ht="14.25" customHeight="1">
      <c r="A63" s="137">
        <v>1.9</v>
      </c>
      <c r="B63" s="7" t="s">
        <v>493</v>
      </c>
      <c r="C63" s="7"/>
      <c r="D63" s="7"/>
      <c r="E63" s="7"/>
      <c r="F63" s="7"/>
      <c r="G63" s="7"/>
      <c r="H63" s="7"/>
      <c r="I63" s="7"/>
      <c r="J63" s="7"/>
      <c r="K63" s="7"/>
      <c r="L63" s="7"/>
      <c r="M63" s="7"/>
      <c r="N63" s="7"/>
      <c r="O63" s="7"/>
      <c r="P63" s="7"/>
      <c r="Q63" s="7"/>
      <c r="R63" s="7"/>
      <c r="S63" s="7"/>
      <c r="T63" s="7"/>
      <c r="U63" s="7"/>
      <c r="V63" s="7"/>
      <c r="W63" s="7"/>
      <c r="X63" s="7"/>
      <c r="Y63" s="7"/>
      <c r="Z63" s="7"/>
    </row>
    <row r="64" ht="14.25" customHeight="1">
      <c r="A64" s="137">
        <v>2.0</v>
      </c>
      <c r="B64" s="7" t="s">
        <v>493</v>
      </c>
      <c r="C64" s="7"/>
      <c r="D64" s="7"/>
      <c r="E64" s="7"/>
      <c r="F64" s="7"/>
      <c r="G64" s="7"/>
      <c r="H64" s="7"/>
      <c r="I64" s="7"/>
      <c r="J64" s="7"/>
      <c r="K64" s="7"/>
      <c r="L64" s="7"/>
      <c r="M64" s="7"/>
      <c r="N64" s="7"/>
      <c r="O64" s="7"/>
      <c r="P64" s="7"/>
      <c r="Q64" s="7"/>
      <c r="R64" s="7"/>
      <c r="S64" s="7"/>
      <c r="T64" s="7"/>
      <c r="U64" s="7"/>
      <c r="V64" s="7"/>
      <c r="W64" s="7"/>
      <c r="X64" s="7"/>
      <c r="Y64" s="7"/>
      <c r="Z64" s="7"/>
    </row>
    <row r="65" ht="14.25" customHeight="1">
      <c r="A65" s="137">
        <v>2.1</v>
      </c>
      <c r="B65" s="7" t="s">
        <v>493</v>
      </c>
      <c r="C65" s="7"/>
      <c r="D65" s="7"/>
      <c r="E65" s="7"/>
      <c r="F65" s="7"/>
      <c r="G65" s="7"/>
      <c r="H65" s="7"/>
      <c r="I65" s="7"/>
      <c r="J65" s="7"/>
      <c r="K65" s="7"/>
      <c r="L65" s="7"/>
      <c r="M65" s="7"/>
      <c r="N65" s="7"/>
      <c r="O65" s="7"/>
      <c r="P65" s="7"/>
      <c r="Q65" s="7"/>
      <c r="R65" s="7"/>
      <c r="S65" s="7"/>
      <c r="T65" s="7"/>
      <c r="U65" s="7"/>
      <c r="V65" s="7"/>
      <c r="W65" s="7"/>
      <c r="X65" s="7"/>
      <c r="Y65" s="7"/>
      <c r="Z65" s="7"/>
    </row>
    <row r="66" ht="14.25" customHeight="1">
      <c r="A66" s="137">
        <v>2.2</v>
      </c>
      <c r="B66" s="7" t="s">
        <v>493</v>
      </c>
      <c r="C66" s="7"/>
      <c r="D66" s="7"/>
      <c r="E66" s="7"/>
      <c r="F66" s="7"/>
      <c r="G66" s="7"/>
      <c r="H66" s="7"/>
      <c r="I66" s="7"/>
      <c r="J66" s="7"/>
      <c r="K66" s="7"/>
      <c r="L66" s="7"/>
      <c r="M66" s="7"/>
      <c r="N66" s="7"/>
      <c r="O66" s="7"/>
      <c r="P66" s="7"/>
      <c r="Q66" s="7"/>
      <c r="R66" s="7"/>
      <c r="S66" s="7"/>
      <c r="T66" s="7"/>
      <c r="U66" s="7"/>
      <c r="V66" s="7"/>
      <c r="W66" s="7"/>
      <c r="X66" s="7"/>
      <c r="Y66" s="7"/>
      <c r="Z66" s="7"/>
    </row>
    <row r="67" ht="14.25" customHeight="1">
      <c r="A67" s="137">
        <v>2.3</v>
      </c>
      <c r="B67" s="7" t="s">
        <v>493</v>
      </c>
      <c r="C67" s="7"/>
      <c r="D67" s="7"/>
      <c r="E67" s="7"/>
      <c r="F67" s="7"/>
      <c r="G67" s="7"/>
      <c r="H67" s="7"/>
      <c r="I67" s="7"/>
      <c r="J67" s="7"/>
      <c r="K67" s="7"/>
      <c r="L67" s="7"/>
      <c r="M67" s="7"/>
      <c r="N67" s="7"/>
      <c r="O67" s="7"/>
      <c r="P67" s="7"/>
      <c r="Q67" s="7"/>
      <c r="R67" s="7"/>
      <c r="S67" s="7"/>
      <c r="T67" s="7"/>
      <c r="U67" s="7"/>
      <c r="V67" s="7"/>
      <c r="W67" s="7"/>
      <c r="X67" s="7"/>
      <c r="Y67" s="7"/>
      <c r="Z67" s="7"/>
    </row>
    <row r="68" ht="14.25" customHeight="1">
      <c r="A68" s="134">
        <v>2.4</v>
      </c>
      <c r="B68" s="7" t="s">
        <v>494</v>
      </c>
      <c r="C68" s="7"/>
      <c r="D68" s="7"/>
      <c r="E68" s="7"/>
      <c r="F68" s="7"/>
      <c r="G68" s="7"/>
      <c r="H68" s="7"/>
      <c r="I68" s="7"/>
      <c r="J68" s="7"/>
      <c r="K68" s="7"/>
      <c r="L68" s="7"/>
      <c r="M68" s="7"/>
      <c r="N68" s="7"/>
      <c r="O68" s="7"/>
      <c r="P68" s="7"/>
      <c r="Q68" s="7"/>
      <c r="R68" s="7"/>
      <c r="S68" s="7"/>
      <c r="T68" s="7"/>
      <c r="U68" s="7"/>
      <c r="V68" s="7"/>
      <c r="W68" s="7"/>
      <c r="X68" s="7"/>
      <c r="Y68" s="7"/>
      <c r="Z68" s="7"/>
    </row>
    <row r="69" ht="14.25" customHeight="1">
      <c r="A69" s="134">
        <v>2.5</v>
      </c>
      <c r="B69" s="7" t="s">
        <v>494</v>
      </c>
      <c r="C69" s="7"/>
      <c r="D69" s="7"/>
      <c r="E69" s="7"/>
      <c r="F69" s="7"/>
      <c r="G69" s="7"/>
      <c r="H69" s="7"/>
      <c r="I69" s="7"/>
      <c r="J69" s="7"/>
      <c r="K69" s="7"/>
      <c r="L69" s="7"/>
      <c r="M69" s="7"/>
      <c r="N69" s="7"/>
      <c r="O69" s="7"/>
      <c r="P69" s="7"/>
      <c r="Q69" s="7"/>
      <c r="R69" s="7"/>
      <c r="S69" s="7"/>
      <c r="T69" s="7"/>
      <c r="U69" s="7"/>
      <c r="V69" s="7"/>
      <c r="W69" s="7"/>
      <c r="X69" s="7"/>
      <c r="Y69" s="7"/>
      <c r="Z69" s="7"/>
    </row>
    <row r="70" ht="14.25" customHeight="1">
      <c r="A70" s="134">
        <v>2.6</v>
      </c>
      <c r="B70" s="7" t="s">
        <v>494</v>
      </c>
      <c r="C70" s="7"/>
      <c r="D70" s="7"/>
      <c r="E70" s="7"/>
      <c r="F70" s="7"/>
      <c r="G70" s="7"/>
      <c r="H70" s="7"/>
      <c r="I70" s="7"/>
      <c r="J70" s="7"/>
      <c r="K70" s="7"/>
      <c r="L70" s="7"/>
      <c r="M70" s="7"/>
      <c r="N70" s="7"/>
      <c r="O70" s="7"/>
      <c r="P70" s="7"/>
      <c r="Q70" s="7"/>
      <c r="R70" s="7"/>
      <c r="S70" s="7"/>
      <c r="T70" s="7"/>
      <c r="U70" s="7"/>
      <c r="V70" s="7"/>
      <c r="W70" s="7"/>
      <c r="X70" s="7"/>
      <c r="Y70" s="7"/>
      <c r="Z70" s="7"/>
    </row>
    <row r="71" ht="14.25" customHeight="1">
      <c r="A71" s="134">
        <v>2.7</v>
      </c>
      <c r="B71" s="7" t="s">
        <v>494</v>
      </c>
      <c r="C71" s="7"/>
      <c r="D71" s="7"/>
      <c r="E71" s="7"/>
      <c r="F71" s="7"/>
      <c r="G71" s="7"/>
      <c r="H71" s="7"/>
      <c r="I71" s="7"/>
      <c r="J71" s="7"/>
      <c r="K71" s="7"/>
      <c r="L71" s="7"/>
      <c r="M71" s="7"/>
      <c r="N71" s="7"/>
      <c r="O71" s="7"/>
      <c r="P71" s="7"/>
      <c r="Q71" s="7"/>
      <c r="R71" s="7"/>
      <c r="S71" s="7"/>
      <c r="T71" s="7"/>
      <c r="U71" s="7"/>
      <c r="V71" s="7"/>
      <c r="W71" s="7"/>
      <c r="X71" s="7"/>
      <c r="Y71" s="7"/>
      <c r="Z71" s="7"/>
    </row>
    <row r="72" ht="14.25" customHeight="1">
      <c r="A72" s="134">
        <v>2.8</v>
      </c>
      <c r="B72" s="7" t="s">
        <v>494</v>
      </c>
      <c r="C72" s="7"/>
      <c r="D72" s="7"/>
      <c r="E72" s="7"/>
      <c r="F72" s="7"/>
      <c r="G72" s="7"/>
      <c r="H72" s="7"/>
      <c r="I72" s="7"/>
      <c r="J72" s="7"/>
      <c r="K72" s="7"/>
      <c r="L72" s="7"/>
      <c r="M72" s="7"/>
      <c r="N72" s="7"/>
      <c r="O72" s="7"/>
      <c r="P72" s="7"/>
      <c r="Q72" s="7"/>
      <c r="R72" s="7"/>
      <c r="S72" s="7"/>
      <c r="T72" s="7"/>
      <c r="U72" s="7"/>
      <c r="V72" s="7"/>
      <c r="W72" s="7"/>
      <c r="X72" s="7"/>
      <c r="Y72" s="7"/>
      <c r="Z72" s="7"/>
    </row>
    <row r="73" ht="14.25" customHeight="1">
      <c r="A73" s="134">
        <v>2.9</v>
      </c>
      <c r="B73" s="7" t="s">
        <v>494</v>
      </c>
      <c r="C73" s="7"/>
      <c r="D73" s="7"/>
      <c r="E73" s="7"/>
      <c r="F73" s="7"/>
      <c r="G73" s="7"/>
      <c r="H73" s="7"/>
      <c r="I73" s="7"/>
      <c r="J73" s="7"/>
      <c r="K73" s="7"/>
      <c r="L73" s="7"/>
      <c r="M73" s="7"/>
      <c r="N73" s="7"/>
      <c r="O73" s="7"/>
      <c r="P73" s="7"/>
      <c r="Q73" s="7"/>
      <c r="R73" s="7"/>
      <c r="S73" s="7"/>
      <c r="T73" s="7"/>
      <c r="U73" s="7"/>
      <c r="V73" s="7"/>
      <c r="W73" s="7"/>
      <c r="X73" s="7"/>
      <c r="Y73" s="7"/>
      <c r="Z73" s="7"/>
    </row>
    <row r="74" ht="14.25" customHeight="1">
      <c r="A74" s="134">
        <v>3.0</v>
      </c>
      <c r="B74" s="7" t="s">
        <v>494</v>
      </c>
      <c r="C74" s="7"/>
      <c r="D74" s="7"/>
      <c r="E74" s="7"/>
      <c r="F74" s="7"/>
      <c r="G74" s="7"/>
      <c r="H74" s="7"/>
      <c r="I74" s="7"/>
      <c r="J74" s="7"/>
      <c r="K74" s="7"/>
      <c r="L74" s="7"/>
      <c r="M74" s="7"/>
      <c r="N74" s="7"/>
      <c r="O74" s="7"/>
      <c r="P74" s="7"/>
      <c r="Q74" s="7"/>
      <c r="R74" s="7"/>
      <c r="S74" s="7"/>
      <c r="T74" s="7"/>
      <c r="U74" s="7"/>
      <c r="V74" s="7"/>
      <c r="W74" s="7"/>
      <c r="X74" s="7"/>
      <c r="Y74" s="7"/>
      <c r="Z74" s="7"/>
    </row>
    <row r="75" ht="14.25" customHeight="1">
      <c r="A75" s="134">
        <v>3.1</v>
      </c>
      <c r="B75" s="7" t="s">
        <v>494</v>
      </c>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134">
        <v>3.2</v>
      </c>
      <c r="B76" s="7" t="s">
        <v>494</v>
      </c>
      <c r="C76" s="7"/>
      <c r="D76" s="7"/>
      <c r="E76" s="7"/>
      <c r="F76" s="7"/>
      <c r="G76" s="7"/>
      <c r="H76" s="7"/>
      <c r="I76" s="7"/>
      <c r="J76" s="7"/>
      <c r="K76" s="7"/>
      <c r="L76" s="7"/>
      <c r="M76" s="7"/>
      <c r="N76" s="7"/>
      <c r="O76" s="7"/>
      <c r="P76" s="7"/>
      <c r="Q76" s="7"/>
      <c r="R76" s="7"/>
      <c r="S76" s="7"/>
      <c r="T76" s="7"/>
      <c r="U76" s="7"/>
      <c r="V76" s="7"/>
      <c r="W76" s="7"/>
      <c r="X76" s="7"/>
      <c r="Y76" s="7"/>
      <c r="Z76" s="7"/>
    </row>
    <row r="77" ht="14.25" customHeight="1">
      <c r="A77" s="134">
        <v>3.3</v>
      </c>
      <c r="B77" s="7" t="s">
        <v>494</v>
      </c>
      <c r="C77" s="7"/>
      <c r="D77" s="7"/>
      <c r="E77" s="7"/>
      <c r="F77" s="7"/>
      <c r="G77" s="7"/>
      <c r="H77" s="7"/>
      <c r="I77" s="7"/>
      <c r="J77" s="7"/>
      <c r="K77" s="7"/>
      <c r="L77" s="7"/>
      <c r="M77" s="7"/>
      <c r="N77" s="7"/>
      <c r="O77" s="7"/>
      <c r="P77" s="7"/>
      <c r="Q77" s="7"/>
      <c r="R77" s="7"/>
      <c r="S77" s="7"/>
      <c r="T77" s="7"/>
      <c r="U77" s="7"/>
      <c r="V77" s="7"/>
      <c r="W77" s="7"/>
      <c r="X77" s="7"/>
      <c r="Y77" s="7"/>
      <c r="Z77" s="7"/>
    </row>
    <row r="78" ht="14.25" customHeight="1">
      <c r="A78" s="134">
        <v>3.4</v>
      </c>
      <c r="B78" s="7" t="s">
        <v>494</v>
      </c>
      <c r="C78" s="7"/>
      <c r="D78" s="7"/>
      <c r="E78" s="7"/>
      <c r="F78" s="7"/>
      <c r="G78" s="7"/>
      <c r="H78" s="7"/>
      <c r="I78" s="7"/>
      <c r="J78" s="7"/>
      <c r="K78" s="7"/>
      <c r="L78" s="7"/>
      <c r="M78" s="7"/>
      <c r="N78" s="7"/>
      <c r="O78" s="7"/>
      <c r="P78" s="7"/>
      <c r="Q78" s="7"/>
      <c r="R78" s="7"/>
      <c r="S78" s="7"/>
      <c r="T78" s="7"/>
      <c r="U78" s="7"/>
      <c r="V78" s="7"/>
      <c r="W78" s="7"/>
      <c r="X78" s="7"/>
      <c r="Y78" s="7"/>
      <c r="Z78" s="7"/>
    </row>
    <row r="79" ht="14.25" customHeight="1">
      <c r="A79" s="138">
        <v>3.5</v>
      </c>
      <c r="B79" s="7" t="s">
        <v>226</v>
      </c>
      <c r="C79" s="7"/>
      <c r="D79" s="7"/>
      <c r="E79" s="7"/>
      <c r="F79" s="7"/>
      <c r="G79" s="7"/>
      <c r="H79" s="7"/>
      <c r="I79" s="7"/>
      <c r="J79" s="7"/>
      <c r="K79" s="7"/>
      <c r="L79" s="7"/>
      <c r="M79" s="7"/>
      <c r="N79" s="7"/>
      <c r="O79" s="7"/>
      <c r="P79" s="7"/>
      <c r="Q79" s="7"/>
      <c r="R79" s="7"/>
      <c r="S79" s="7"/>
      <c r="T79" s="7"/>
      <c r="U79" s="7"/>
      <c r="V79" s="7"/>
      <c r="W79" s="7"/>
      <c r="X79" s="7"/>
      <c r="Y79" s="7"/>
      <c r="Z79" s="7"/>
    </row>
    <row r="80" ht="14.25" customHeight="1">
      <c r="A80" s="138">
        <v>3.6</v>
      </c>
      <c r="B80" s="7" t="s">
        <v>226</v>
      </c>
      <c r="C80" s="7"/>
      <c r="D80" s="7"/>
      <c r="E80" s="7"/>
      <c r="F80" s="7"/>
      <c r="G80" s="7"/>
      <c r="H80" s="7"/>
      <c r="I80" s="7"/>
      <c r="J80" s="7"/>
      <c r="K80" s="7"/>
      <c r="L80" s="7"/>
      <c r="M80" s="7"/>
      <c r="N80" s="7"/>
      <c r="O80" s="7"/>
      <c r="P80" s="7"/>
      <c r="Q80" s="7"/>
      <c r="R80" s="7"/>
      <c r="S80" s="7"/>
      <c r="T80" s="7"/>
      <c r="U80" s="7"/>
      <c r="V80" s="7"/>
      <c r="W80" s="7"/>
      <c r="X80" s="7"/>
      <c r="Y80" s="7"/>
      <c r="Z80" s="7"/>
    </row>
    <row r="81" ht="14.25" customHeight="1">
      <c r="A81" s="138">
        <v>3.7</v>
      </c>
      <c r="B81" s="7" t="s">
        <v>226</v>
      </c>
      <c r="C81" s="7"/>
      <c r="D81" s="7"/>
      <c r="E81" s="7"/>
      <c r="F81" s="7"/>
      <c r="G81" s="7"/>
      <c r="H81" s="7"/>
      <c r="I81" s="7"/>
      <c r="J81" s="7"/>
      <c r="K81" s="7"/>
      <c r="L81" s="7"/>
      <c r="M81" s="7"/>
      <c r="N81" s="7"/>
      <c r="O81" s="7"/>
      <c r="P81" s="7"/>
      <c r="Q81" s="7"/>
      <c r="R81" s="7"/>
      <c r="S81" s="7"/>
      <c r="T81" s="7"/>
      <c r="U81" s="7"/>
      <c r="V81" s="7"/>
      <c r="W81" s="7"/>
      <c r="X81" s="7"/>
      <c r="Y81" s="7"/>
      <c r="Z81" s="7"/>
    </row>
    <row r="82" ht="14.25" customHeight="1">
      <c r="A82" s="138">
        <v>3.8</v>
      </c>
      <c r="B82" s="7" t="s">
        <v>226</v>
      </c>
      <c r="C82" s="7"/>
      <c r="D82" s="7"/>
      <c r="E82" s="7"/>
      <c r="F82" s="7"/>
      <c r="G82" s="7"/>
      <c r="H82" s="7"/>
      <c r="I82" s="7"/>
      <c r="J82" s="7"/>
      <c r="K82" s="7"/>
      <c r="L82" s="7"/>
      <c r="M82" s="7"/>
      <c r="N82" s="7"/>
      <c r="O82" s="7"/>
      <c r="P82" s="7"/>
      <c r="Q82" s="7"/>
      <c r="R82" s="7"/>
      <c r="S82" s="7"/>
      <c r="T82" s="7"/>
      <c r="U82" s="7"/>
      <c r="V82" s="7"/>
      <c r="W82" s="7"/>
      <c r="X82" s="7"/>
      <c r="Y82" s="7"/>
      <c r="Z82" s="7"/>
    </row>
    <row r="83" ht="14.25" customHeight="1">
      <c r="A83" s="138">
        <v>3.9</v>
      </c>
      <c r="B83" s="7" t="s">
        <v>226</v>
      </c>
      <c r="C83" s="7"/>
      <c r="D83" s="7"/>
      <c r="E83" s="7"/>
      <c r="F83" s="7"/>
      <c r="G83" s="7"/>
      <c r="H83" s="7"/>
      <c r="I83" s="7"/>
      <c r="J83" s="7"/>
      <c r="K83" s="7"/>
      <c r="L83" s="7"/>
      <c r="M83" s="7"/>
      <c r="N83" s="7"/>
      <c r="O83" s="7"/>
      <c r="P83" s="7"/>
      <c r="Q83" s="7"/>
      <c r="R83" s="7"/>
      <c r="S83" s="7"/>
      <c r="T83" s="7"/>
      <c r="U83" s="7"/>
      <c r="V83" s="7"/>
      <c r="W83" s="7"/>
      <c r="X83" s="7"/>
      <c r="Y83" s="7"/>
      <c r="Z83" s="7"/>
    </row>
    <row r="84" ht="14.25" customHeight="1">
      <c r="A84" s="138">
        <v>4.0</v>
      </c>
      <c r="B84" s="7" t="s">
        <v>226</v>
      </c>
      <c r="C84" s="7"/>
      <c r="D84" s="7"/>
      <c r="E84" s="7"/>
      <c r="F84" s="7"/>
      <c r="G84" s="7"/>
      <c r="H84" s="7"/>
      <c r="I84" s="7"/>
      <c r="J84" s="7"/>
      <c r="K84" s="7"/>
      <c r="L84" s="7"/>
      <c r="M84" s="7"/>
      <c r="N84" s="7"/>
      <c r="O84" s="7"/>
      <c r="P84" s="7"/>
      <c r="Q84" s="7"/>
      <c r="R84" s="7"/>
      <c r="S84" s="7"/>
      <c r="T84" s="7"/>
      <c r="U84" s="7"/>
      <c r="V84" s="7"/>
      <c r="W84" s="7"/>
      <c r="X84" s="7"/>
      <c r="Y84" s="7"/>
      <c r="Z84" s="7"/>
    </row>
    <row r="85" ht="14.2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4.2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4.2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4.2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4.2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4.2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4.2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4.2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4.2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4.2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4.2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4.2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4.2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4.2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4.2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4.2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4.2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4.2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4.2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4.2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4.2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4.2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4.2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4.2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20">
    <mergeCell ref="A1:J1"/>
    <mergeCell ref="A4:A7"/>
    <mergeCell ref="B4:B7"/>
    <mergeCell ref="A9:A12"/>
    <mergeCell ref="B9:B12"/>
    <mergeCell ref="A14:A17"/>
    <mergeCell ref="B14:B17"/>
    <mergeCell ref="A33:A36"/>
    <mergeCell ref="A38:A41"/>
    <mergeCell ref="B38:B41"/>
    <mergeCell ref="A44:A46"/>
    <mergeCell ref="B44:B46"/>
    <mergeCell ref="A52:J52"/>
    <mergeCell ref="A19:A23"/>
    <mergeCell ref="B19:B23"/>
    <mergeCell ref="A25:A27"/>
    <mergeCell ref="B25:B27"/>
    <mergeCell ref="A29:A31"/>
    <mergeCell ref="B29:B31"/>
    <mergeCell ref="B33:B36"/>
  </mergeCell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9">
    <pageSetUpPr/>
  </sheetPr>
  <sheetViews>
    <sheetView workbookViewId="0"/>
  </sheetViews>
  <sheetFormatPr customHeight="1" defaultColWidth="14.43" defaultRowHeight="15.0"/>
  <cols>
    <col customWidth="1" min="1" max="1" width="17.29"/>
    <col customWidth="1" min="2" max="2" width="55.29"/>
    <col customWidth="1" min="3" max="3" width="32.29"/>
    <col customWidth="1" min="4" max="4" width="13.29"/>
    <col customWidth="1" min="5" max="5" width="27.57"/>
    <col customWidth="1" min="6" max="7" width="8.71"/>
    <col customWidth="1" min="8" max="8" width="195.29"/>
    <col customWidth="1" min="9" max="9" width="27.71"/>
    <col customWidth="1" min="10" max="26" width="8.71"/>
  </cols>
  <sheetData>
    <row r="1" ht="14.25" customHeight="1">
      <c r="A1" s="107" t="s">
        <v>406</v>
      </c>
      <c r="K1" s="7"/>
      <c r="L1" s="7"/>
      <c r="M1" s="7"/>
      <c r="N1" s="7"/>
      <c r="O1" s="7"/>
      <c r="P1" s="7"/>
      <c r="Q1" s="7"/>
      <c r="R1" s="7"/>
      <c r="S1" s="7"/>
      <c r="T1" s="7"/>
      <c r="U1" s="7"/>
      <c r="V1" s="7"/>
      <c r="W1" s="7"/>
      <c r="X1" s="7"/>
      <c r="Y1" s="7"/>
      <c r="Z1" s="7"/>
    </row>
    <row r="2" ht="14.25" customHeight="1">
      <c r="A2" s="107"/>
      <c r="B2" s="107"/>
      <c r="C2" s="107"/>
      <c r="D2" s="107"/>
      <c r="E2" s="107"/>
      <c r="F2" s="107"/>
      <c r="G2" s="107"/>
      <c r="H2" s="107"/>
      <c r="I2" s="107"/>
      <c r="J2" s="107"/>
      <c r="K2" s="7"/>
      <c r="L2" s="7"/>
      <c r="M2" s="7"/>
      <c r="N2" s="7"/>
      <c r="O2" s="7"/>
      <c r="P2" s="7"/>
      <c r="Q2" s="7"/>
      <c r="R2" s="7"/>
      <c r="S2" s="7"/>
      <c r="T2" s="7"/>
      <c r="U2" s="7"/>
      <c r="V2" s="7"/>
      <c r="W2" s="7"/>
      <c r="X2" s="7"/>
      <c r="Y2" s="7"/>
      <c r="Z2" s="7"/>
    </row>
    <row r="3" ht="14.25" customHeight="1">
      <c r="A3" s="7"/>
      <c r="B3" s="7"/>
      <c r="C3" s="7"/>
      <c r="D3" s="7"/>
      <c r="E3" s="7"/>
      <c r="F3" s="7"/>
      <c r="G3" s="7"/>
      <c r="H3" s="7"/>
      <c r="I3" s="7" t="s">
        <v>165</v>
      </c>
      <c r="J3" s="7"/>
      <c r="K3" s="7"/>
      <c r="L3" s="7"/>
      <c r="M3" s="7"/>
      <c r="N3" s="7"/>
      <c r="O3" s="7"/>
      <c r="P3" s="7"/>
      <c r="Q3" s="7"/>
      <c r="R3" s="7"/>
      <c r="S3" s="7"/>
      <c r="T3" s="7"/>
      <c r="U3" s="7"/>
      <c r="V3" s="7"/>
      <c r="W3" s="7"/>
      <c r="X3" s="7"/>
      <c r="Y3" s="7"/>
      <c r="Z3" s="7"/>
    </row>
    <row r="4" ht="14.25" customHeight="1">
      <c r="A4" s="109" t="s">
        <v>495</v>
      </c>
      <c r="B4" s="109" t="s">
        <v>496</v>
      </c>
      <c r="C4" s="7" t="s">
        <v>264</v>
      </c>
      <c r="D4" s="7" t="s">
        <v>339</v>
      </c>
      <c r="E4" s="7" t="s">
        <v>163</v>
      </c>
      <c r="F4" s="7" t="s">
        <v>497</v>
      </c>
      <c r="G4" s="131">
        <v>1.0</v>
      </c>
      <c r="H4" s="7"/>
      <c r="I4" s="55"/>
      <c r="J4" s="7"/>
      <c r="K4" s="7"/>
      <c r="L4" s="7"/>
      <c r="M4" s="7"/>
      <c r="N4" s="7"/>
      <c r="O4" s="7"/>
      <c r="P4" s="7"/>
      <c r="Q4" s="7"/>
      <c r="R4" s="7"/>
      <c r="S4" s="7"/>
      <c r="T4" s="7"/>
      <c r="U4" s="7"/>
      <c r="V4" s="7"/>
      <c r="W4" s="7"/>
      <c r="X4" s="7"/>
      <c r="Y4" s="7"/>
      <c r="Z4" s="7"/>
    </row>
    <row r="5" ht="14.25" customHeight="1">
      <c r="C5" s="7" t="s">
        <v>498</v>
      </c>
      <c r="D5" s="7" t="s">
        <v>185</v>
      </c>
      <c r="E5" s="7" t="s">
        <v>168</v>
      </c>
      <c r="F5" s="7" t="s">
        <v>499</v>
      </c>
      <c r="G5" s="163">
        <v>3.0</v>
      </c>
      <c r="H5" s="7" t="s">
        <v>500</v>
      </c>
      <c r="I5" s="55" t="str">
        <f>IFERROR(VLOOKUP('Answer Sheet'!W14,F4:G6,2,FALSE),"0")</f>
        <v>0</v>
      </c>
      <c r="J5" s="7"/>
      <c r="K5" s="7"/>
      <c r="L5" s="7"/>
      <c r="M5" s="7"/>
      <c r="N5" s="7"/>
      <c r="O5" s="7"/>
      <c r="P5" s="7"/>
      <c r="Q5" s="7"/>
      <c r="R5" s="7"/>
      <c r="S5" s="7"/>
      <c r="T5" s="7"/>
      <c r="U5" s="7"/>
      <c r="V5" s="7"/>
      <c r="W5" s="7"/>
      <c r="X5" s="7"/>
      <c r="Y5" s="7"/>
      <c r="Z5" s="7"/>
    </row>
    <row r="6" ht="14.25" customHeight="1">
      <c r="C6" s="7" t="s">
        <v>501</v>
      </c>
      <c r="D6" s="7" t="s">
        <v>197</v>
      </c>
      <c r="E6" s="7" t="s">
        <v>502</v>
      </c>
      <c r="F6" s="7" t="s">
        <v>503</v>
      </c>
      <c r="G6" s="133">
        <v>4.0</v>
      </c>
      <c r="H6" s="7" t="s">
        <v>504</v>
      </c>
      <c r="I6" s="55"/>
      <c r="J6" s="7"/>
      <c r="K6" s="7"/>
      <c r="L6" s="7"/>
      <c r="M6" s="7"/>
      <c r="N6" s="7"/>
      <c r="O6" s="7"/>
      <c r="P6" s="7"/>
      <c r="Q6" s="7"/>
      <c r="R6" s="7"/>
      <c r="S6" s="7"/>
      <c r="T6" s="7"/>
      <c r="U6" s="7"/>
      <c r="V6" s="7"/>
      <c r="W6" s="7"/>
      <c r="X6" s="7"/>
      <c r="Y6" s="7"/>
      <c r="Z6" s="7"/>
    </row>
    <row r="7" ht="14.25" customHeight="1">
      <c r="A7" s="80"/>
      <c r="B7" s="80"/>
      <c r="C7" s="7"/>
      <c r="D7" s="7"/>
      <c r="E7" s="7"/>
      <c r="F7" s="7"/>
      <c r="G7" s="111"/>
      <c r="H7" s="7"/>
      <c r="I7" s="7"/>
      <c r="J7" s="7"/>
      <c r="K7" s="7"/>
      <c r="L7" s="7"/>
      <c r="M7" s="7"/>
      <c r="N7" s="7"/>
      <c r="O7" s="7"/>
      <c r="P7" s="7"/>
      <c r="Q7" s="7"/>
      <c r="R7" s="7"/>
      <c r="S7" s="7"/>
      <c r="T7" s="7"/>
      <c r="U7" s="7"/>
      <c r="V7" s="7"/>
      <c r="W7" s="7"/>
      <c r="X7" s="7"/>
      <c r="Y7" s="7"/>
      <c r="Z7" s="7"/>
    </row>
    <row r="8" ht="14.25" customHeight="1">
      <c r="A8" s="109" t="s">
        <v>505</v>
      </c>
      <c r="B8" s="109" t="s">
        <v>506</v>
      </c>
      <c r="C8" s="7" t="s">
        <v>264</v>
      </c>
      <c r="D8" s="7" t="s">
        <v>420</v>
      </c>
      <c r="E8" s="7" t="s">
        <v>163</v>
      </c>
      <c r="F8" s="7" t="s">
        <v>507</v>
      </c>
      <c r="G8" s="131">
        <v>1.0</v>
      </c>
      <c r="H8" s="7"/>
      <c r="I8" s="55" t="str">
        <f>IFERROR(VLOOKUP('Answer Sheet'!W15,F8:G10,2,FALSE),"0")</f>
        <v>0</v>
      </c>
      <c r="J8" s="7"/>
      <c r="K8" s="7"/>
      <c r="L8" s="7"/>
      <c r="M8" s="7"/>
      <c r="N8" s="7"/>
      <c r="O8" s="7"/>
      <c r="P8" s="7"/>
      <c r="Q8" s="7"/>
      <c r="R8" s="7"/>
      <c r="S8" s="7"/>
      <c r="T8" s="7"/>
      <c r="U8" s="7"/>
      <c r="V8" s="7"/>
      <c r="W8" s="7"/>
      <c r="X8" s="7"/>
      <c r="Y8" s="7"/>
      <c r="Z8" s="7"/>
    </row>
    <row r="9" ht="14.25" customHeight="1">
      <c r="C9" s="7" t="s">
        <v>498</v>
      </c>
      <c r="D9" s="7" t="s">
        <v>185</v>
      </c>
      <c r="E9" s="7" t="s">
        <v>257</v>
      </c>
      <c r="F9" s="7" t="s">
        <v>508</v>
      </c>
      <c r="G9" s="132">
        <v>2.0</v>
      </c>
      <c r="H9" s="7" t="s">
        <v>509</v>
      </c>
      <c r="I9" s="55"/>
      <c r="J9" s="7"/>
      <c r="K9" s="7"/>
      <c r="L9" s="7"/>
      <c r="M9" s="7"/>
      <c r="N9" s="7"/>
      <c r="O9" s="7"/>
      <c r="P9" s="7"/>
      <c r="Q9" s="7"/>
      <c r="R9" s="7"/>
      <c r="S9" s="7"/>
      <c r="T9" s="7"/>
      <c r="U9" s="7"/>
      <c r="V9" s="7"/>
      <c r="W9" s="7"/>
      <c r="X9" s="7"/>
      <c r="Y9" s="7"/>
      <c r="Z9" s="7"/>
    </row>
    <row r="10" ht="14.25" customHeight="1">
      <c r="C10" s="7" t="s">
        <v>501</v>
      </c>
      <c r="D10" s="7" t="s">
        <v>172</v>
      </c>
      <c r="E10" s="7" t="s">
        <v>189</v>
      </c>
      <c r="F10" s="7" t="s">
        <v>510</v>
      </c>
      <c r="G10" s="133">
        <v>4.0</v>
      </c>
      <c r="H10" s="7" t="s">
        <v>511</v>
      </c>
      <c r="I10" s="55"/>
      <c r="J10" s="7"/>
      <c r="K10" s="7"/>
      <c r="L10" s="7"/>
      <c r="M10" s="7"/>
      <c r="N10" s="7"/>
      <c r="O10" s="7"/>
      <c r="P10" s="7"/>
      <c r="Q10" s="7"/>
      <c r="R10" s="7"/>
      <c r="S10" s="7"/>
      <c r="T10" s="7"/>
      <c r="U10" s="7"/>
      <c r="V10" s="7"/>
      <c r="W10" s="7"/>
      <c r="X10" s="7"/>
      <c r="Y10" s="7"/>
      <c r="Z10" s="7"/>
    </row>
    <row r="11" ht="14.25" customHeight="1">
      <c r="A11" s="80"/>
      <c r="B11" s="80"/>
      <c r="C11" s="7"/>
      <c r="D11" s="7"/>
      <c r="E11" s="7"/>
      <c r="F11" s="7"/>
      <c r="G11" s="111"/>
      <c r="H11" s="7"/>
      <c r="I11" s="55"/>
      <c r="J11" s="7"/>
      <c r="K11" s="7"/>
      <c r="L11" s="7"/>
      <c r="M11" s="7"/>
      <c r="N11" s="7"/>
      <c r="O11" s="7"/>
      <c r="P11" s="7"/>
      <c r="Q11" s="7"/>
      <c r="R11" s="7"/>
      <c r="S11" s="7"/>
      <c r="T11" s="7"/>
      <c r="U11" s="7"/>
      <c r="V11" s="7"/>
      <c r="W11" s="7"/>
      <c r="X11" s="7"/>
      <c r="Y11" s="7"/>
      <c r="Z11" s="7"/>
    </row>
    <row r="12" ht="14.25" customHeight="1">
      <c r="A12" s="109" t="s">
        <v>512</v>
      </c>
      <c r="B12" s="109" t="s">
        <v>513</v>
      </c>
      <c r="C12" s="7" t="s">
        <v>267</v>
      </c>
      <c r="D12" s="7" t="s">
        <v>420</v>
      </c>
      <c r="E12" s="7" t="s">
        <v>163</v>
      </c>
      <c r="F12" s="7" t="s">
        <v>514</v>
      </c>
      <c r="G12" s="131">
        <v>1.0</v>
      </c>
      <c r="H12" s="7"/>
      <c r="I12" s="55" t="str">
        <f>IFERROR(VLOOKUP('Answer Sheet'!W16,F12:G13,2,FALSE),"0")</f>
        <v>0</v>
      </c>
      <c r="J12" s="7"/>
      <c r="K12" s="7"/>
      <c r="L12" s="7"/>
      <c r="M12" s="7"/>
      <c r="N12" s="7"/>
      <c r="O12" s="7"/>
      <c r="P12" s="7"/>
      <c r="Q12" s="7"/>
      <c r="R12" s="7"/>
      <c r="S12" s="7"/>
      <c r="T12" s="7"/>
      <c r="U12" s="7"/>
      <c r="V12" s="7"/>
      <c r="W12" s="7"/>
      <c r="X12" s="7"/>
      <c r="Y12" s="7"/>
      <c r="Z12" s="7"/>
    </row>
    <row r="13" ht="14.25" customHeight="1">
      <c r="C13" s="7" t="s">
        <v>264</v>
      </c>
      <c r="D13" s="7" t="s">
        <v>172</v>
      </c>
      <c r="E13" s="7" t="s">
        <v>313</v>
      </c>
      <c r="F13" s="7" t="s">
        <v>515</v>
      </c>
      <c r="G13" s="163">
        <v>3.0</v>
      </c>
      <c r="H13" s="7" t="s">
        <v>516</v>
      </c>
      <c r="I13" s="55"/>
      <c r="J13" s="7"/>
      <c r="K13" s="7"/>
      <c r="L13" s="7"/>
      <c r="M13" s="7"/>
      <c r="N13" s="7"/>
      <c r="O13" s="7"/>
      <c r="P13" s="7"/>
      <c r="Q13" s="7"/>
      <c r="R13" s="7"/>
      <c r="S13" s="7"/>
      <c r="T13" s="7"/>
      <c r="U13" s="7"/>
      <c r="V13" s="7"/>
      <c r="W13" s="7"/>
      <c r="X13" s="7"/>
      <c r="Y13" s="7"/>
      <c r="Z13" s="7"/>
    </row>
    <row r="14" ht="14.25" customHeight="1">
      <c r="A14" s="80"/>
      <c r="B14" s="80"/>
      <c r="C14" s="7"/>
      <c r="D14" s="7"/>
      <c r="E14" s="7"/>
      <c r="F14" s="7"/>
      <c r="G14" s="111"/>
      <c r="H14" s="7"/>
      <c r="I14" s="55"/>
      <c r="J14" s="7"/>
      <c r="K14" s="7"/>
      <c r="L14" s="7"/>
      <c r="M14" s="7"/>
      <c r="N14" s="7"/>
      <c r="O14" s="7"/>
      <c r="P14" s="7"/>
      <c r="Q14" s="7"/>
      <c r="R14" s="7"/>
      <c r="S14" s="7"/>
      <c r="T14" s="7"/>
      <c r="U14" s="7"/>
      <c r="V14" s="7"/>
      <c r="W14" s="7"/>
      <c r="X14" s="7"/>
      <c r="Y14" s="7"/>
      <c r="Z14" s="7"/>
    </row>
    <row r="15" ht="14.25" customHeight="1">
      <c r="A15" s="109" t="s">
        <v>517</v>
      </c>
      <c r="B15" s="109" t="s">
        <v>518</v>
      </c>
      <c r="C15" s="7" t="s">
        <v>264</v>
      </c>
      <c r="D15" s="7" t="s">
        <v>420</v>
      </c>
      <c r="E15" s="7" t="s">
        <v>163</v>
      </c>
      <c r="F15" s="7" t="s">
        <v>519</v>
      </c>
      <c r="G15" s="131">
        <v>1.0</v>
      </c>
      <c r="H15" s="7"/>
      <c r="I15" s="55" t="str">
        <f>IFERROR(VLOOKUP('Answer Sheet'!W17,F15:G16,2,FALSE),"0")</f>
        <v>0</v>
      </c>
      <c r="J15" s="7"/>
      <c r="K15" s="7"/>
      <c r="L15" s="7"/>
      <c r="M15" s="7"/>
      <c r="N15" s="7"/>
      <c r="O15" s="7"/>
      <c r="P15" s="7"/>
      <c r="Q15" s="7"/>
      <c r="R15" s="7"/>
      <c r="S15" s="7"/>
      <c r="T15" s="7"/>
      <c r="U15" s="7"/>
      <c r="V15" s="7"/>
      <c r="W15" s="7"/>
      <c r="X15" s="7"/>
      <c r="Y15" s="7"/>
      <c r="Z15" s="7"/>
    </row>
    <row r="16" ht="14.25" customHeight="1">
      <c r="C16" s="7" t="s">
        <v>267</v>
      </c>
      <c r="D16" s="7" t="s">
        <v>172</v>
      </c>
      <c r="E16" s="7" t="s">
        <v>313</v>
      </c>
      <c r="F16" s="7" t="s">
        <v>520</v>
      </c>
      <c r="G16" s="163">
        <v>3.0</v>
      </c>
      <c r="H16" s="7" t="s">
        <v>521</v>
      </c>
      <c r="I16" s="55"/>
      <c r="J16" s="7"/>
      <c r="K16" s="7"/>
      <c r="L16" s="7"/>
      <c r="M16" s="7"/>
      <c r="N16" s="7"/>
      <c r="O16" s="7"/>
      <c r="P16" s="7"/>
      <c r="Q16" s="7"/>
      <c r="R16" s="7"/>
      <c r="S16" s="7"/>
      <c r="T16" s="7"/>
      <c r="U16" s="7"/>
      <c r="V16" s="7"/>
      <c r="W16" s="7"/>
      <c r="X16" s="7"/>
      <c r="Y16" s="7"/>
      <c r="Z16" s="7"/>
    </row>
    <row r="17" ht="14.25" customHeight="1">
      <c r="A17" s="80"/>
      <c r="B17" s="80"/>
      <c r="C17" s="7"/>
      <c r="D17" s="7"/>
      <c r="E17" s="7"/>
      <c r="F17" s="7"/>
      <c r="G17" s="111"/>
      <c r="H17" s="7"/>
      <c r="I17" s="55"/>
      <c r="J17" s="7"/>
      <c r="K17" s="7"/>
      <c r="L17" s="7"/>
      <c r="M17" s="7"/>
      <c r="N17" s="7"/>
      <c r="O17" s="7"/>
      <c r="P17" s="7"/>
      <c r="Q17" s="7"/>
      <c r="R17" s="7"/>
      <c r="S17" s="7"/>
      <c r="T17" s="7"/>
      <c r="U17" s="7"/>
      <c r="V17" s="7"/>
      <c r="W17" s="7"/>
      <c r="X17" s="7"/>
      <c r="Y17" s="7"/>
      <c r="Z17" s="7"/>
    </row>
    <row r="18" ht="14.25" customHeight="1">
      <c r="A18" s="80"/>
      <c r="B18" s="80"/>
      <c r="C18" s="7"/>
      <c r="D18" s="7"/>
      <c r="E18" s="7"/>
      <c r="F18" s="7"/>
      <c r="G18" s="111"/>
      <c r="H18" s="7"/>
      <c r="I18" s="55"/>
      <c r="J18" s="7"/>
      <c r="K18" s="7"/>
      <c r="L18" s="7"/>
      <c r="M18" s="7"/>
      <c r="N18" s="7"/>
      <c r="O18" s="7"/>
      <c r="P18" s="7"/>
      <c r="Q18" s="7"/>
      <c r="R18" s="7"/>
      <c r="S18" s="7"/>
      <c r="T18" s="7"/>
      <c r="U18" s="7"/>
      <c r="V18" s="7"/>
      <c r="W18" s="7"/>
      <c r="X18" s="7"/>
      <c r="Y18" s="7"/>
      <c r="Z18" s="7"/>
    </row>
    <row r="19" ht="14.25" customHeight="1">
      <c r="A19" s="80"/>
      <c r="B19" s="80"/>
      <c r="C19" s="7"/>
      <c r="D19" s="7"/>
      <c r="E19" s="7"/>
      <c r="F19" s="7"/>
      <c r="G19" s="111"/>
      <c r="H19" s="7"/>
      <c r="I19" s="55"/>
      <c r="J19" s="7"/>
      <c r="K19" s="7"/>
      <c r="L19" s="7"/>
      <c r="M19" s="7"/>
      <c r="N19" s="7"/>
      <c r="O19" s="7"/>
      <c r="P19" s="7"/>
      <c r="Q19" s="7"/>
      <c r="R19" s="7"/>
      <c r="S19" s="7"/>
      <c r="T19" s="7"/>
      <c r="U19" s="7"/>
      <c r="V19" s="7"/>
      <c r="W19" s="7"/>
      <c r="X19" s="7"/>
      <c r="Y19" s="7"/>
      <c r="Z19" s="7"/>
    </row>
    <row r="20" ht="14.25" customHeight="1">
      <c r="A20" s="80"/>
      <c r="B20" s="80"/>
      <c r="C20" s="7"/>
      <c r="D20" s="7"/>
      <c r="E20" s="7"/>
      <c r="F20" s="7"/>
      <c r="G20" s="111"/>
      <c r="H20" s="7"/>
      <c r="I20" s="55"/>
      <c r="J20" s="7"/>
      <c r="K20" s="7"/>
      <c r="L20" s="7"/>
      <c r="M20" s="7"/>
      <c r="N20" s="7"/>
      <c r="O20" s="7"/>
      <c r="P20" s="7"/>
      <c r="Q20" s="7"/>
      <c r="R20" s="7"/>
      <c r="S20" s="7"/>
      <c r="T20" s="7"/>
      <c r="U20" s="7"/>
      <c r="V20" s="7"/>
      <c r="W20" s="7"/>
      <c r="X20" s="7"/>
      <c r="Y20" s="7"/>
      <c r="Z20" s="7"/>
    </row>
    <row r="21" ht="14.25" customHeight="1">
      <c r="A21" s="80"/>
      <c r="B21" s="80"/>
      <c r="C21" s="7"/>
      <c r="D21" s="7"/>
      <c r="E21" s="7"/>
      <c r="F21" s="7"/>
      <c r="G21" s="111"/>
      <c r="H21" s="7"/>
      <c r="I21" s="7"/>
      <c r="J21" s="7"/>
      <c r="K21" s="7"/>
      <c r="L21" s="7"/>
      <c r="M21" s="7"/>
      <c r="N21" s="7"/>
      <c r="O21" s="7"/>
      <c r="P21" s="7"/>
      <c r="Q21" s="7"/>
      <c r="R21" s="7"/>
      <c r="S21" s="7"/>
      <c r="T21" s="7"/>
      <c r="U21" s="7"/>
      <c r="V21" s="7"/>
      <c r="W21" s="7"/>
      <c r="X21" s="7"/>
      <c r="Y21" s="7"/>
      <c r="Z21" s="7"/>
    </row>
    <row r="22" ht="14.25" customHeight="1">
      <c r="A22" s="7"/>
      <c r="B22" s="7"/>
      <c r="C22" s="7"/>
      <c r="D22" s="7"/>
      <c r="E22" s="7"/>
      <c r="F22" s="7"/>
      <c r="G22" s="7"/>
      <c r="H22" s="7"/>
      <c r="I22" s="7"/>
      <c r="J22" s="7"/>
      <c r="K22" s="7"/>
      <c r="L22" s="7"/>
      <c r="M22" s="7"/>
      <c r="N22" s="7"/>
      <c r="O22" s="7"/>
      <c r="P22" s="7"/>
      <c r="Q22" s="7"/>
      <c r="R22" s="7"/>
      <c r="S22" s="7"/>
      <c r="T22" s="7"/>
      <c r="U22" s="7"/>
      <c r="V22" s="7"/>
      <c r="W22" s="7"/>
      <c r="X22" s="7"/>
      <c r="Y22" s="7"/>
      <c r="Z22" s="7"/>
    </row>
    <row r="23" ht="14.25" customHeight="1">
      <c r="A23" s="109"/>
      <c r="B23" s="109"/>
      <c r="C23" s="7"/>
      <c r="D23" s="7"/>
      <c r="E23" s="7"/>
      <c r="F23" s="7"/>
      <c r="G23" s="111"/>
      <c r="H23" s="7"/>
      <c r="I23" s="111"/>
      <c r="J23" s="7"/>
      <c r="K23" s="7"/>
      <c r="L23" s="7"/>
      <c r="M23" s="7"/>
      <c r="N23" s="7"/>
      <c r="O23" s="7"/>
      <c r="P23" s="7"/>
      <c r="Q23" s="7"/>
      <c r="R23" s="7"/>
      <c r="S23" s="7"/>
      <c r="T23" s="7"/>
      <c r="U23" s="7"/>
      <c r="V23" s="7"/>
      <c r="W23" s="7"/>
      <c r="X23" s="7"/>
      <c r="Y23" s="7"/>
      <c r="Z23" s="7"/>
    </row>
    <row r="24" ht="14.25" customHeight="1">
      <c r="C24" s="7"/>
      <c r="D24" s="7"/>
      <c r="E24" s="7"/>
      <c r="F24" s="7"/>
      <c r="G24" s="111"/>
      <c r="H24" s="7"/>
      <c r="I24" s="7"/>
      <c r="J24" s="7"/>
      <c r="K24" s="7"/>
      <c r="L24" s="7"/>
      <c r="M24" s="7"/>
      <c r="N24" s="7"/>
      <c r="O24" s="7"/>
      <c r="P24" s="7"/>
      <c r="Q24" s="7"/>
      <c r="R24" s="7"/>
      <c r="S24" s="7"/>
      <c r="T24" s="7"/>
      <c r="U24" s="7"/>
      <c r="V24" s="7"/>
      <c r="W24" s="7"/>
      <c r="X24" s="7"/>
      <c r="Y24" s="7"/>
      <c r="Z24" s="7"/>
    </row>
    <row r="25" ht="14.25" customHeight="1">
      <c r="C25" s="7"/>
      <c r="D25" s="7"/>
      <c r="E25" s="7"/>
      <c r="F25" s="7"/>
      <c r="G25" s="111"/>
      <c r="H25" s="7"/>
      <c r="I25" s="55">
        <f>SUM(I4:I20)</f>
        <v>0</v>
      </c>
      <c r="J25" s="7"/>
      <c r="K25" s="7"/>
      <c r="L25" s="7"/>
      <c r="M25" s="7"/>
      <c r="N25" s="7"/>
      <c r="O25" s="7"/>
      <c r="P25" s="7"/>
      <c r="Q25" s="7"/>
      <c r="R25" s="7"/>
      <c r="S25" s="7"/>
      <c r="T25" s="7"/>
      <c r="U25" s="7"/>
      <c r="V25" s="7"/>
      <c r="W25" s="7"/>
      <c r="X25" s="7"/>
      <c r="Y25" s="7"/>
      <c r="Z25" s="7"/>
    </row>
    <row r="26" ht="14.25" customHeight="1">
      <c r="A26" s="7"/>
      <c r="B26" s="7"/>
      <c r="C26" s="7"/>
      <c r="D26" s="7"/>
      <c r="E26" s="7"/>
      <c r="F26" s="7"/>
      <c r="G26" s="7"/>
      <c r="H26" s="7"/>
      <c r="I26" s="55">
        <f>COUNTIF(I5:I23,"&gt;0.9")</f>
        <v>0</v>
      </c>
      <c r="J26" s="7"/>
      <c r="K26" s="7"/>
      <c r="L26" s="7"/>
      <c r="M26" s="7"/>
      <c r="N26" s="7"/>
      <c r="O26" s="7"/>
      <c r="P26" s="7"/>
      <c r="Q26" s="7"/>
      <c r="R26" s="7"/>
      <c r="S26" s="7"/>
      <c r="T26" s="7"/>
      <c r="U26" s="7"/>
      <c r="V26" s="7"/>
      <c r="W26" s="7"/>
      <c r="X26" s="7"/>
      <c r="Y26" s="7"/>
      <c r="Z26" s="7"/>
    </row>
    <row r="27" ht="14.25" customHeight="1">
      <c r="A27" s="7"/>
      <c r="B27" s="7"/>
      <c r="C27" s="7"/>
      <c r="D27" s="7"/>
      <c r="E27" s="7"/>
      <c r="F27" s="7"/>
      <c r="G27" s="7"/>
      <c r="H27" s="130" t="s">
        <v>219</v>
      </c>
      <c r="I27" s="55" t="str">
        <f>IFERROR(ROUND(I25/I26,1),"0")</f>
        <v>0</v>
      </c>
      <c r="J27" s="7"/>
      <c r="K27" s="7"/>
      <c r="L27" s="7"/>
      <c r="M27" s="7"/>
      <c r="N27" s="7"/>
      <c r="O27" s="7"/>
      <c r="P27" s="7"/>
      <c r="Q27" s="7"/>
      <c r="R27" s="7"/>
      <c r="S27" s="7"/>
      <c r="T27" s="7"/>
      <c r="U27" s="7"/>
      <c r="V27" s="7"/>
      <c r="W27" s="7"/>
      <c r="X27" s="7"/>
      <c r="Y27" s="7"/>
      <c r="Z27" s="7"/>
    </row>
    <row r="28" ht="14.25" customHeight="1">
      <c r="A28" s="7"/>
      <c r="B28" s="7"/>
      <c r="C28" s="7"/>
      <c r="D28" s="7"/>
      <c r="E28" s="7"/>
      <c r="F28" s="7"/>
      <c r="G28" s="7"/>
      <c r="H28" s="7"/>
      <c r="I28" s="7"/>
      <c r="J28" s="7"/>
      <c r="K28" s="7"/>
      <c r="L28" s="7"/>
      <c r="M28" s="7"/>
      <c r="N28" s="7"/>
      <c r="O28" s="7"/>
      <c r="P28" s="7"/>
      <c r="Q28" s="7"/>
      <c r="R28" s="7"/>
      <c r="S28" s="7"/>
      <c r="T28" s="7"/>
      <c r="U28" s="7"/>
      <c r="V28" s="7"/>
      <c r="W28" s="7"/>
      <c r="X28" s="7"/>
      <c r="Y28" s="7"/>
      <c r="Z28" s="7"/>
    </row>
    <row r="29" ht="14.25" customHeight="1">
      <c r="A29" s="7"/>
      <c r="B29" s="7"/>
      <c r="C29" s="7"/>
      <c r="D29" s="7"/>
      <c r="E29" s="7"/>
      <c r="F29" s="7"/>
      <c r="G29" s="7"/>
      <c r="H29" s="7"/>
      <c r="I29" s="7"/>
      <c r="J29" s="7"/>
      <c r="K29" s="7"/>
      <c r="L29" s="7"/>
      <c r="M29" s="7"/>
      <c r="N29" s="7"/>
      <c r="O29" s="7"/>
      <c r="P29" s="7"/>
      <c r="Q29" s="7"/>
      <c r="R29" s="7"/>
      <c r="S29" s="7"/>
      <c r="T29" s="7"/>
      <c r="U29" s="7"/>
      <c r="V29" s="7"/>
      <c r="W29" s="7"/>
      <c r="X29" s="7"/>
      <c r="Y29" s="7"/>
      <c r="Z29" s="7"/>
    </row>
    <row r="30" ht="14.25" customHeight="1">
      <c r="A30" s="7"/>
      <c r="B30" s="7"/>
      <c r="C30" s="7"/>
      <c r="D30" s="7"/>
      <c r="E30" s="7"/>
      <c r="F30" s="7"/>
      <c r="G30" s="7"/>
      <c r="H30" s="7"/>
      <c r="I30" s="7"/>
      <c r="J30" s="7"/>
      <c r="K30" s="7"/>
      <c r="L30" s="7"/>
      <c r="M30" s="7"/>
      <c r="N30" s="7"/>
      <c r="O30" s="7"/>
      <c r="P30" s="7"/>
      <c r="Q30" s="7"/>
      <c r="R30" s="7"/>
      <c r="S30" s="7"/>
      <c r="T30" s="7"/>
      <c r="U30" s="7"/>
      <c r="V30" s="7"/>
      <c r="W30" s="7"/>
      <c r="X30" s="7"/>
      <c r="Y30" s="7"/>
      <c r="Z30" s="7"/>
    </row>
    <row r="31" ht="14.25" customHeight="1">
      <c r="A31" s="135" t="s">
        <v>220</v>
      </c>
      <c r="K31" s="7"/>
      <c r="L31" s="7"/>
      <c r="M31" s="7"/>
      <c r="N31" s="7"/>
      <c r="O31" s="7"/>
      <c r="P31" s="7"/>
      <c r="Q31" s="7"/>
      <c r="R31" s="7"/>
      <c r="S31" s="7"/>
      <c r="T31" s="7"/>
      <c r="U31" s="7"/>
      <c r="V31" s="7"/>
      <c r="W31" s="7"/>
      <c r="X31" s="7"/>
      <c r="Y31" s="7"/>
      <c r="Z31" s="7"/>
    </row>
    <row r="32" ht="14.25" customHeight="1">
      <c r="A32" s="7"/>
      <c r="B32" s="7"/>
      <c r="C32" s="7"/>
      <c r="D32" s="7"/>
      <c r="E32" s="7"/>
      <c r="F32" s="7"/>
      <c r="G32" s="7"/>
      <c r="H32" s="7"/>
      <c r="I32" s="7"/>
      <c r="J32" s="7"/>
      <c r="K32" s="7"/>
      <c r="L32" s="7"/>
      <c r="M32" s="7"/>
      <c r="N32" s="7"/>
      <c r="O32" s="7"/>
      <c r="P32" s="7"/>
      <c r="Q32" s="7"/>
      <c r="R32" s="7"/>
      <c r="S32" s="7"/>
      <c r="T32" s="7"/>
      <c r="U32" s="7"/>
      <c r="V32" s="7"/>
      <c r="W32" s="7"/>
      <c r="X32" s="7"/>
      <c r="Y32" s="7"/>
      <c r="Z32" s="7"/>
    </row>
    <row r="33" ht="14.25" customHeight="1">
      <c r="A33" s="111" t="s">
        <v>221</v>
      </c>
      <c r="B33" s="7" t="s">
        <v>222</v>
      </c>
      <c r="C33" s="7"/>
      <c r="D33" s="7"/>
      <c r="E33" s="7"/>
      <c r="F33" s="7"/>
      <c r="G33" s="7"/>
      <c r="H33" s="7"/>
      <c r="I33" s="7"/>
      <c r="J33" s="7"/>
      <c r="K33" s="7"/>
      <c r="L33" s="7"/>
      <c r="M33" s="7"/>
      <c r="N33" s="7"/>
      <c r="O33" s="7"/>
      <c r="P33" s="7"/>
      <c r="Q33" s="7"/>
      <c r="R33" s="7"/>
      <c r="S33" s="7"/>
      <c r="T33" s="7"/>
      <c r="U33" s="7"/>
      <c r="V33" s="7"/>
      <c r="W33" s="7"/>
      <c r="X33" s="7"/>
      <c r="Y33" s="7"/>
      <c r="Z33" s="7"/>
    </row>
    <row r="34" ht="14.25" customHeight="1">
      <c r="A34" s="136">
        <v>1.0</v>
      </c>
      <c r="B34" s="7" t="s">
        <v>522</v>
      </c>
      <c r="C34" s="7"/>
      <c r="D34" s="7"/>
      <c r="E34" s="7"/>
      <c r="F34" s="7"/>
      <c r="G34" s="7"/>
      <c r="H34" s="7"/>
      <c r="I34" s="7"/>
      <c r="J34" s="7"/>
      <c r="K34" s="7"/>
      <c r="L34" s="7"/>
      <c r="M34" s="7"/>
      <c r="N34" s="7"/>
      <c r="O34" s="7"/>
      <c r="P34" s="7"/>
      <c r="Q34" s="7"/>
      <c r="R34" s="7"/>
      <c r="S34" s="7"/>
      <c r="T34" s="7"/>
      <c r="U34" s="7"/>
      <c r="V34" s="7"/>
      <c r="W34" s="7"/>
      <c r="X34" s="7"/>
      <c r="Y34" s="7"/>
      <c r="Z34" s="7"/>
    </row>
    <row r="35" ht="14.25" customHeight="1">
      <c r="A35" s="136">
        <v>1.2</v>
      </c>
      <c r="B35" s="7" t="s">
        <v>522</v>
      </c>
      <c r="C35" s="7"/>
      <c r="D35" s="7"/>
      <c r="E35" s="7"/>
      <c r="F35" s="7"/>
      <c r="G35" s="7"/>
      <c r="H35" s="7"/>
      <c r="I35" s="7"/>
      <c r="J35" s="7"/>
      <c r="K35" s="7"/>
      <c r="L35" s="7"/>
      <c r="M35" s="7"/>
      <c r="N35" s="7"/>
      <c r="O35" s="7"/>
      <c r="P35" s="7"/>
      <c r="Q35" s="7"/>
      <c r="R35" s="7"/>
      <c r="S35" s="7"/>
      <c r="T35" s="7"/>
      <c r="U35" s="7"/>
      <c r="V35" s="7"/>
      <c r="W35" s="7"/>
      <c r="X35" s="7"/>
      <c r="Y35" s="7"/>
      <c r="Z35" s="7"/>
    </row>
    <row r="36" ht="14.25" customHeight="1">
      <c r="A36" s="136">
        <v>1.3</v>
      </c>
      <c r="B36" s="7" t="s">
        <v>522</v>
      </c>
      <c r="C36" s="7"/>
      <c r="D36" s="7"/>
      <c r="E36" s="7"/>
      <c r="F36" s="7"/>
      <c r="G36" s="7"/>
      <c r="H36" s="7"/>
      <c r="I36" s="7"/>
      <c r="J36" s="7"/>
      <c r="K36" s="7"/>
      <c r="L36" s="7"/>
      <c r="M36" s="7"/>
      <c r="N36" s="7"/>
      <c r="O36" s="7"/>
      <c r="P36" s="7"/>
      <c r="Q36" s="7"/>
      <c r="R36" s="7"/>
      <c r="S36" s="7"/>
      <c r="T36" s="7"/>
      <c r="U36" s="7"/>
      <c r="V36" s="7"/>
      <c r="W36" s="7"/>
      <c r="X36" s="7"/>
      <c r="Y36" s="7"/>
      <c r="Z36" s="7"/>
    </row>
    <row r="37" ht="14.25" customHeight="1">
      <c r="A37" s="136">
        <v>1.4</v>
      </c>
      <c r="B37" s="7" t="s">
        <v>522</v>
      </c>
      <c r="C37" s="7"/>
      <c r="D37" s="7"/>
      <c r="E37" s="7"/>
      <c r="F37" s="7"/>
      <c r="G37" s="7"/>
      <c r="H37" s="7"/>
      <c r="I37" s="7"/>
      <c r="J37" s="7"/>
      <c r="K37" s="7"/>
      <c r="L37" s="7"/>
      <c r="M37" s="7"/>
      <c r="N37" s="7"/>
      <c r="O37" s="7"/>
      <c r="P37" s="7"/>
      <c r="Q37" s="7"/>
      <c r="R37" s="7"/>
      <c r="S37" s="7"/>
      <c r="T37" s="7"/>
      <c r="U37" s="7"/>
      <c r="V37" s="7"/>
      <c r="W37" s="7"/>
      <c r="X37" s="7"/>
      <c r="Y37" s="7"/>
      <c r="Z37" s="7"/>
    </row>
    <row r="38" ht="14.25" customHeight="1">
      <c r="A38" s="137">
        <v>1.5</v>
      </c>
      <c r="B38" s="7" t="s">
        <v>523</v>
      </c>
      <c r="C38" s="7"/>
      <c r="D38" s="7"/>
      <c r="E38" s="7"/>
      <c r="F38" s="7"/>
      <c r="G38" s="7"/>
      <c r="H38" s="7"/>
      <c r="I38" s="7"/>
      <c r="J38" s="7"/>
      <c r="K38" s="7"/>
      <c r="L38" s="7"/>
      <c r="M38" s="7"/>
      <c r="N38" s="7"/>
      <c r="O38" s="7"/>
      <c r="P38" s="7"/>
      <c r="Q38" s="7"/>
      <c r="R38" s="7"/>
      <c r="S38" s="7"/>
      <c r="T38" s="7"/>
      <c r="U38" s="7"/>
      <c r="V38" s="7"/>
      <c r="W38" s="7"/>
      <c r="X38" s="7"/>
      <c r="Y38" s="7"/>
      <c r="Z38" s="7"/>
    </row>
    <row r="39" ht="14.25" customHeight="1">
      <c r="A39" s="137">
        <v>1.6</v>
      </c>
      <c r="B39" s="7" t="s">
        <v>523</v>
      </c>
      <c r="C39" s="7"/>
      <c r="D39" s="7"/>
      <c r="E39" s="7"/>
      <c r="F39" s="7"/>
      <c r="G39" s="7"/>
      <c r="H39" s="7"/>
      <c r="I39" s="7"/>
      <c r="J39" s="7"/>
      <c r="K39" s="7"/>
      <c r="L39" s="7"/>
      <c r="M39" s="7"/>
      <c r="N39" s="7"/>
      <c r="O39" s="7"/>
      <c r="P39" s="7"/>
      <c r="Q39" s="7"/>
      <c r="R39" s="7"/>
      <c r="S39" s="7"/>
      <c r="T39" s="7"/>
      <c r="U39" s="7"/>
      <c r="V39" s="7"/>
      <c r="W39" s="7"/>
      <c r="X39" s="7"/>
      <c r="Y39" s="7"/>
      <c r="Z39" s="7"/>
    </row>
    <row r="40" ht="14.25" customHeight="1">
      <c r="A40" s="137">
        <v>1.7</v>
      </c>
      <c r="B40" s="7" t="s">
        <v>523</v>
      </c>
      <c r="C40" s="7"/>
      <c r="D40" s="7"/>
      <c r="E40" s="7"/>
      <c r="F40" s="7"/>
      <c r="G40" s="7"/>
      <c r="H40" s="7"/>
      <c r="I40" s="7"/>
      <c r="J40" s="7"/>
      <c r="K40" s="7"/>
      <c r="L40" s="7"/>
      <c r="M40" s="7"/>
      <c r="N40" s="7"/>
      <c r="O40" s="7"/>
      <c r="P40" s="7"/>
      <c r="Q40" s="7"/>
      <c r="R40" s="7"/>
      <c r="S40" s="7"/>
      <c r="T40" s="7"/>
      <c r="U40" s="7"/>
      <c r="V40" s="7"/>
      <c r="W40" s="7"/>
      <c r="X40" s="7"/>
      <c r="Y40" s="7"/>
      <c r="Z40" s="7"/>
    </row>
    <row r="41" ht="14.25" customHeight="1">
      <c r="A41" s="137">
        <v>1.8</v>
      </c>
      <c r="B41" s="7" t="s">
        <v>523</v>
      </c>
      <c r="C41" s="7"/>
      <c r="D41" s="7"/>
      <c r="E41" s="7"/>
      <c r="F41" s="7"/>
      <c r="G41" s="7"/>
      <c r="H41" s="7"/>
      <c r="I41" s="7"/>
      <c r="J41" s="7"/>
      <c r="K41" s="7"/>
      <c r="L41" s="7"/>
      <c r="M41" s="7"/>
      <c r="N41" s="7"/>
      <c r="O41" s="7"/>
      <c r="P41" s="7"/>
      <c r="Q41" s="7"/>
      <c r="R41" s="7"/>
      <c r="S41" s="7"/>
      <c r="T41" s="7"/>
      <c r="U41" s="7"/>
      <c r="V41" s="7"/>
      <c r="W41" s="7"/>
      <c r="X41" s="7"/>
      <c r="Y41" s="7"/>
      <c r="Z41" s="7"/>
    </row>
    <row r="42" ht="14.25" customHeight="1">
      <c r="A42" s="137">
        <v>1.9</v>
      </c>
      <c r="B42" s="7" t="s">
        <v>523</v>
      </c>
      <c r="C42" s="7"/>
      <c r="D42" s="7"/>
      <c r="E42" s="7"/>
      <c r="F42" s="7"/>
      <c r="G42" s="7"/>
      <c r="H42" s="7"/>
      <c r="I42" s="7"/>
      <c r="J42" s="7"/>
      <c r="K42" s="7"/>
      <c r="L42" s="7"/>
      <c r="M42" s="7"/>
      <c r="N42" s="7"/>
      <c r="O42" s="7"/>
      <c r="P42" s="7"/>
      <c r="Q42" s="7"/>
      <c r="R42" s="7"/>
      <c r="S42" s="7"/>
      <c r="T42" s="7"/>
      <c r="U42" s="7"/>
      <c r="V42" s="7"/>
      <c r="W42" s="7"/>
      <c r="X42" s="7"/>
      <c r="Y42" s="7"/>
      <c r="Z42" s="7"/>
    </row>
    <row r="43" ht="14.25" customHeight="1">
      <c r="A43" s="137">
        <v>2.0</v>
      </c>
      <c r="B43" s="7" t="s">
        <v>523</v>
      </c>
      <c r="C43" s="7"/>
      <c r="D43" s="7"/>
      <c r="E43" s="7"/>
      <c r="F43" s="7"/>
      <c r="G43" s="7"/>
      <c r="H43" s="7"/>
      <c r="I43" s="7"/>
      <c r="J43" s="7"/>
      <c r="K43" s="7"/>
      <c r="L43" s="7"/>
      <c r="M43" s="7"/>
      <c r="N43" s="7"/>
      <c r="O43" s="7"/>
      <c r="P43" s="7"/>
      <c r="Q43" s="7"/>
      <c r="R43" s="7"/>
      <c r="S43" s="7"/>
      <c r="T43" s="7"/>
      <c r="U43" s="7"/>
      <c r="V43" s="7"/>
      <c r="W43" s="7"/>
      <c r="X43" s="7"/>
      <c r="Y43" s="7"/>
      <c r="Z43" s="7"/>
    </row>
    <row r="44" ht="14.25" customHeight="1">
      <c r="A44" s="137">
        <v>2.1</v>
      </c>
      <c r="B44" s="7" t="s">
        <v>523</v>
      </c>
      <c r="C44" s="7"/>
      <c r="D44" s="7"/>
      <c r="E44" s="7"/>
      <c r="F44" s="7"/>
      <c r="G44" s="7"/>
      <c r="H44" s="7"/>
      <c r="I44" s="7"/>
      <c r="J44" s="7"/>
      <c r="K44" s="7"/>
      <c r="L44" s="7"/>
      <c r="M44" s="7"/>
      <c r="N44" s="7"/>
      <c r="O44" s="7"/>
      <c r="P44" s="7"/>
      <c r="Q44" s="7"/>
      <c r="R44" s="7"/>
      <c r="S44" s="7"/>
      <c r="T44" s="7"/>
      <c r="U44" s="7"/>
      <c r="V44" s="7"/>
      <c r="W44" s="7"/>
      <c r="X44" s="7"/>
      <c r="Y44" s="7"/>
      <c r="Z44" s="7"/>
    </row>
    <row r="45" ht="14.25" customHeight="1">
      <c r="A45" s="137">
        <v>2.2</v>
      </c>
      <c r="B45" s="7" t="s">
        <v>523</v>
      </c>
      <c r="C45" s="7"/>
      <c r="D45" s="7"/>
      <c r="E45" s="7"/>
      <c r="F45" s="7"/>
      <c r="G45" s="7"/>
      <c r="H45" s="7"/>
      <c r="I45" s="7"/>
      <c r="J45" s="7"/>
      <c r="K45" s="7"/>
      <c r="L45" s="7"/>
      <c r="M45" s="7"/>
      <c r="N45" s="7"/>
      <c r="O45" s="7"/>
      <c r="P45" s="7"/>
      <c r="Q45" s="7"/>
      <c r="R45" s="7"/>
      <c r="S45" s="7"/>
      <c r="T45" s="7"/>
      <c r="U45" s="7"/>
      <c r="V45" s="7"/>
      <c r="W45" s="7"/>
      <c r="X45" s="7"/>
      <c r="Y45" s="7"/>
      <c r="Z45" s="7"/>
    </row>
    <row r="46" ht="14.25" customHeight="1">
      <c r="A46" s="137">
        <v>2.3</v>
      </c>
      <c r="B46" s="7" t="s">
        <v>523</v>
      </c>
      <c r="C46" s="7"/>
      <c r="D46" s="7"/>
      <c r="E46" s="7"/>
      <c r="F46" s="7"/>
      <c r="G46" s="7"/>
      <c r="H46" s="7"/>
      <c r="I46" s="7"/>
      <c r="J46" s="7"/>
      <c r="K46" s="7"/>
      <c r="L46" s="7"/>
      <c r="M46" s="7"/>
      <c r="N46" s="7"/>
      <c r="O46" s="7"/>
      <c r="P46" s="7"/>
      <c r="Q46" s="7"/>
      <c r="R46" s="7"/>
      <c r="S46" s="7"/>
      <c r="T46" s="7"/>
      <c r="U46" s="7"/>
      <c r="V46" s="7"/>
      <c r="W46" s="7"/>
      <c r="X46" s="7"/>
      <c r="Y46" s="7"/>
      <c r="Z46" s="7"/>
    </row>
    <row r="47" ht="14.25" customHeight="1">
      <c r="A47" s="134">
        <v>2.4</v>
      </c>
      <c r="B47" s="7" t="s">
        <v>524</v>
      </c>
      <c r="C47" s="7"/>
      <c r="D47" s="7"/>
      <c r="E47" s="7"/>
      <c r="F47" s="7"/>
      <c r="G47" s="7"/>
      <c r="H47" s="7"/>
      <c r="I47" s="7"/>
      <c r="J47" s="7"/>
      <c r="K47" s="7"/>
      <c r="L47" s="7"/>
      <c r="M47" s="7"/>
      <c r="N47" s="7"/>
      <c r="O47" s="7"/>
      <c r="P47" s="7"/>
      <c r="Q47" s="7"/>
      <c r="R47" s="7"/>
      <c r="S47" s="7"/>
      <c r="T47" s="7"/>
      <c r="U47" s="7"/>
      <c r="V47" s="7"/>
      <c r="W47" s="7"/>
      <c r="X47" s="7"/>
      <c r="Y47" s="7"/>
      <c r="Z47" s="7"/>
    </row>
    <row r="48" ht="14.25" customHeight="1">
      <c r="A48" s="134">
        <v>2.5</v>
      </c>
      <c r="B48" s="7" t="s">
        <v>524</v>
      </c>
      <c r="C48" s="7"/>
      <c r="D48" s="7"/>
      <c r="E48" s="7"/>
      <c r="F48" s="7"/>
      <c r="G48" s="7"/>
      <c r="H48" s="7"/>
      <c r="I48" s="7"/>
      <c r="J48" s="7"/>
      <c r="K48" s="7"/>
      <c r="L48" s="7"/>
      <c r="M48" s="7"/>
      <c r="N48" s="7"/>
      <c r="O48" s="7"/>
      <c r="P48" s="7"/>
      <c r="Q48" s="7"/>
      <c r="R48" s="7"/>
      <c r="S48" s="7"/>
      <c r="T48" s="7"/>
      <c r="U48" s="7"/>
      <c r="V48" s="7"/>
      <c r="W48" s="7"/>
      <c r="X48" s="7"/>
      <c r="Y48" s="7"/>
      <c r="Z48" s="7"/>
    </row>
    <row r="49" ht="14.25" customHeight="1">
      <c r="A49" s="134">
        <v>2.6</v>
      </c>
      <c r="B49" s="7" t="s">
        <v>524</v>
      </c>
      <c r="C49" s="7"/>
      <c r="D49" s="7"/>
      <c r="E49" s="7"/>
      <c r="F49" s="7"/>
      <c r="G49" s="7"/>
      <c r="H49" s="7"/>
      <c r="I49" s="7"/>
      <c r="J49" s="7"/>
      <c r="K49" s="7"/>
      <c r="L49" s="7"/>
      <c r="M49" s="7"/>
      <c r="N49" s="7"/>
      <c r="O49" s="7"/>
      <c r="P49" s="7"/>
      <c r="Q49" s="7"/>
      <c r="R49" s="7"/>
      <c r="S49" s="7"/>
      <c r="T49" s="7"/>
      <c r="U49" s="7"/>
      <c r="V49" s="7"/>
      <c r="W49" s="7"/>
      <c r="X49" s="7"/>
      <c r="Y49" s="7"/>
      <c r="Z49" s="7"/>
    </row>
    <row r="50" ht="14.25" customHeight="1">
      <c r="A50" s="134">
        <v>2.7</v>
      </c>
      <c r="B50" s="7" t="s">
        <v>524</v>
      </c>
      <c r="C50" s="7"/>
      <c r="D50" s="7"/>
      <c r="E50" s="7"/>
      <c r="F50" s="7"/>
      <c r="G50" s="7"/>
      <c r="H50" s="7"/>
      <c r="I50" s="7"/>
      <c r="J50" s="7"/>
      <c r="K50" s="7"/>
      <c r="L50" s="7"/>
      <c r="M50" s="7"/>
      <c r="N50" s="7"/>
      <c r="O50" s="7"/>
      <c r="P50" s="7"/>
      <c r="Q50" s="7"/>
      <c r="R50" s="7"/>
      <c r="S50" s="7"/>
      <c r="T50" s="7"/>
      <c r="U50" s="7"/>
      <c r="V50" s="7"/>
      <c r="W50" s="7"/>
      <c r="X50" s="7"/>
      <c r="Y50" s="7"/>
      <c r="Z50" s="7"/>
    </row>
    <row r="51" ht="14.25" customHeight="1">
      <c r="A51" s="134">
        <v>2.8</v>
      </c>
      <c r="B51" s="7" t="s">
        <v>524</v>
      </c>
      <c r="C51" s="7"/>
      <c r="D51" s="7"/>
      <c r="E51" s="7"/>
      <c r="F51" s="7"/>
      <c r="G51" s="7"/>
      <c r="H51" s="7"/>
      <c r="I51" s="7"/>
      <c r="J51" s="7"/>
      <c r="K51" s="7"/>
      <c r="L51" s="7"/>
      <c r="M51" s="7"/>
      <c r="N51" s="7"/>
      <c r="O51" s="7"/>
      <c r="P51" s="7"/>
      <c r="Q51" s="7"/>
      <c r="R51" s="7"/>
      <c r="S51" s="7"/>
      <c r="T51" s="7"/>
      <c r="U51" s="7"/>
      <c r="V51" s="7"/>
      <c r="W51" s="7"/>
      <c r="X51" s="7"/>
      <c r="Y51" s="7"/>
      <c r="Z51" s="7"/>
    </row>
    <row r="52" ht="14.25" customHeight="1">
      <c r="A52" s="134">
        <v>2.9</v>
      </c>
      <c r="B52" s="7" t="s">
        <v>524</v>
      </c>
      <c r="C52" s="7"/>
      <c r="D52" s="7"/>
      <c r="E52" s="7"/>
      <c r="F52" s="7"/>
      <c r="G52" s="7"/>
      <c r="H52" s="7"/>
      <c r="I52" s="7"/>
      <c r="J52" s="7"/>
      <c r="K52" s="7"/>
      <c r="L52" s="7"/>
      <c r="M52" s="7"/>
      <c r="N52" s="7"/>
      <c r="O52" s="7"/>
      <c r="P52" s="7"/>
      <c r="Q52" s="7"/>
      <c r="R52" s="7"/>
      <c r="S52" s="7"/>
      <c r="T52" s="7"/>
      <c r="U52" s="7"/>
      <c r="V52" s="7"/>
      <c r="W52" s="7"/>
      <c r="X52" s="7"/>
      <c r="Y52" s="7"/>
      <c r="Z52" s="7"/>
    </row>
    <row r="53" ht="14.25" customHeight="1">
      <c r="A53" s="134">
        <v>3.0</v>
      </c>
      <c r="B53" s="7" t="s">
        <v>524</v>
      </c>
      <c r="C53" s="7"/>
      <c r="D53" s="7"/>
      <c r="E53" s="7"/>
      <c r="F53" s="7"/>
      <c r="G53" s="7"/>
      <c r="H53" s="7"/>
      <c r="I53" s="7"/>
      <c r="J53" s="7"/>
      <c r="K53" s="7"/>
      <c r="L53" s="7"/>
      <c r="M53" s="7"/>
      <c r="N53" s="7"/>
      <c r="O53" s="7"/>
      <c r="P53" s="7"/>
      <c r="Q53" s="7"/>
      <c r="R53" s="7"/>
      <c r="S53" s="7"/>
      <c r="T53" s="7"/>
      <c r="U53" s="7"/>
      <c r="V53" s="7"/>
      <c r="W53" s="7"/>
      <c r="X53" s="7"/>
      <c r="Y53" s="7"/>
      <c r="Z53" s="7"/>
    </row>
    <row r="54" ht="14.25" customHeight="1">
      <c r="A54" s="134">
        <v>3.1</v>
      </c>
      <c r="B54" s="7" t="s">
        <v>524</v>
      </c>
      <c r="C54" s="7"/>
      <c r="D54" s="7"/>
      <c r="E54" s="7"/>
      <c r="F54" s="7"/>
      <c r="G54" s="7"/>
      <c r="H54" s="7"/>
      <c r="I54" s="7"/>
      <c r="J54" s="7"/>
      <c r="K54" s="7"/>
      <c r="L54" s="7"/>
      <c r="M54" s="7"/>
      <c r="N54" s="7"/>
      <c r="O54" s="7"/>
      <c r="P54" s="7"/>
      <c r="Q54" s="7"/>
      <c r="R54" s="7"/>
      <c r="S54" s="7"/>
      <c r="T54" s="7"/>
      <c r="U54" s="7"/>
      <c r="V54" s="7"/>
      <c r="W54" s="7"/>
      <c r="X54" s="7"/>
      <c r="Y54" s="7"/>
      <c r="Z54" s="7"/>
    </row>
    <row r="55" ht="14.25" customHeight="1">
      <c r="A55" s="134">
        <v>3.2</v>
      </c>
      <c r="B55" s="7" t="s">
        <v>524</v>
      </c>
      <c r="C55" s="7"/>
      <c r="D55" s="7"/>
      <c r="E55" s="7"/>
      <c r="F55" s="7"/>
      <c r="G55" s="7"/>
      <c r="H55" s="7"/>
      <c r="I55" s="7"/>
      <c r="J55" s="7"/>
      <c r="K55" s="7"/>
      <c r="L55" s="7"/>
      <c r="M55" s="7"/>
      <c r="N55" s="7"/>
      <c r="O55" s="7"/>
      <c r="P55" s="7"/>
      <c r="Q55" s="7"/>
      <c r="R55" s="7"/>
      <c r="S55" s="7"/>
      <c r="T55" s="7"/>
      <c r="U55" s="7"/>
      <c r="V55" s="7"/>
      <c r="W55" s="7"/>
      <c r="X55" s="7"/>
      <c r="Y55" s="7"/>
      <c r="Z55" s="7"/>
    </row>
    <row r="56" ht="14.25" customHeight="1">
      <c r="A56" s="134">
        <v>3.3</v>
      </c>
      <c r="B56" s="7" t="s">
        <v>524</v>
      </c>
      <c r="C56" s="7"/>
      <c r="D56" s="7"/>
      <c r="E56" s="7"/>
      <c r="F56" s="7"/>
      <c r="G56" s="7"/>
      <c r="H56" s="7"/>
      <c r="I56" s="7"/>
      <c r="J56" s="7"/>
      <c r="K56" s="7"/>
      <c r="L56" s="7"/>
      <c r="M56" s="7"/>
      <c r="N56" s="7"/>
      <c r="O56" s="7"/>
      <c r="P56" s="7"/>
      <c r="Q56" s="7"/>
      <c r="R56" s="7"/>
      <c r="S56" s="7"/>
      <c r="T56" s="7"/>
      <c r="U56" s="7"/>
      <c r="V56" s="7"/>
      <c r="W56" s="7"/>
      <c r="X56" s="7"/>
      <c r="Y56" s="7"/>
      <c r="Z56" s="7"/>
    </row>
    <row r="57" ht="14.25" customHeight="1">
      <c r="A57" s="134">
        <v>3.4</v>
      </c>
      <c r="B57" s="7" t="s">
        <v>524</v>
      </c>
      <c r="C57" s="7"/>
      <c r="D57" s="7"/>
      <c r="E57" s="7"/>
      <c r="F57" s="7"/>
      <c r="G57" s="7"/>
      <c r="H57" s="7"/>
      <c r="I57" s="7"/>
      <c r="J57" s="7"/>
      <c r="K57" s="7"/>
      <c r="L57" s="7"/>
      <c r="M57" s="7"/>
      <c r="N57" s="7"/>
      <c r="O57" s="7"/>
      <c r="P57" s="7"/>
      <c r="Q57" s="7"/>
      <c r="R57" s="7"/>
      <c r="S57" s="7"/>
      <c r="T57" s="7"/>
      <c r="U57" s="7"/>
      <c r="V57" s="7"/>
      <c r="W57" s="7"/>
      <c r="X57" s="7"/>
      <c r="Y57" s="7"/>
      <c r="Z57" s="7"/>
    </row>
    <row r="58" ht="14.25" customHeight="1">
      <c r="A58" s="138">
        <v>3.5</v>
      </c>
      <c r="B58" s="7" t="s">
        <v>226</v>
      </c>
      <c r="C58" s="7"/>
      <c r="D58" s="7"/>
      <c r="E58" s="7"/>
      <c r="F58" s="7"/>
      <c r="G58" s="7"/>
      <c r="H58" s="7"/>
      <c r="I58" s="7"/>
      <c r="J58" s="7"/>
      <c r="K58" s="7"/>
      <c r="L58" s="7"/>
      <c r="M58" s="7"/>
      <c r="N58" s="7"/>
      <c r="O58" s="7"/>
      <c r="P58" s="7"/>
      <c r="Q58" s="7"/>
      <c r="R58" s="7"/>
      <c r="S58" s="7"/>
      <c r="T58" s="7"/>
      <c r="U58" s="7"/>
      <c r="V58" s="7"/>
      <c r="W58" s="7"/>
      <c r="X58" s="7"/>
      <c r="Y58" s="7"/>
      <c r="Z58" s="7"/>
    </row>
    <row r="59" ht="14.25" customHeight="1">
      <c r="A59" s="138">
        <v>3.6</v>
      </c>
      <c r="B59" s="7" t="s">
        <v>226</v>
      </c>
      <c r="C59" s="7"/>
      <c r="D59" s="7"/>
      <c r="E59" s="7"/>
      <c r="F59" s="7"/>
      <c r="G59" s="7"/>
      <c r="H59" s="7"/>
      <c r="I59" s="7"/>
      <c r="J59" s="7"/>
      <c r="K59" s="7"/>
      <c r="L59" s="7"/>
      <c r="M59" s="7"/>
      <c r="N59" s="7"/>
      <c r="O59" s="7"/>
      <c r="P59" s="7"/>
      <c r="Q59" s="7"/>
      <c r="R59" s="7"/>
      <c r="S59" s="7"/>
      <c r="T59" s="7"/>
      <c r="U59" s="7"/>
      <c r="V59" s="7"/>
      <c r="W59" s="7"/>
      <c r="X59" s="7"/>
      <c r="Y59" s="7"/>
      <c r="Z59" s="7"/>
    </row>
    <row r="60" ht="14.25" customHeight="1">
      <c r="A60" s="138">
        <v>3.7</v>
      </c>
      <c r="B60" s="7" t="s">
        <v>226</v>
      </c>
      <c r="C60" s="7"/>
      <c r="D60" s="7"/>
      <c r="E60" s="7"/>
      <c r="F60" s="7"/>
      <c r="G60" s="7"/>
      <c r="H60" s="7"/>
      <c r="I60" s="7"/>
      <c r="J60" s="7"/>
      <c r="K60" s="7"/>
      <c r="L60" s="7"/>
      <c r="M60" s="7"/>
      <c r="N60" s="7"/>
      <c r="O60" s="7"/>
      <c r="P60" s="7"/>
      <c r="Q60" s="7"/>
      <c r="R60" s="7"/>
      <c r="S60" s="7"/>
      <c r="T60" s="7"/>
      <c r="U60" s="7"/>
      <c r="V60" s="7"/>
      <c r="W60" s="7"/>
      <c r="X60" s="7"/>
      <c r="Y60" s="7"/>
      <c r="Z60" s="7"/>
    </row>
    <row r="61" ht="14.25" customHeight="1">
      <c r="A61" s="138">
        <v>3.8</v>
      </c>
      <c r="B61" s="7" t="s">
        <v>226</v>
      </c>
      <c r="C61" s="7"/>
      <c r="D61" s="7"/>
      <c r="E61" s="7"/>
      <c r="F61" s="7"/>
      <c r="G61" s="7"/>
      <c r="H61" s="7"/>
      <c r="I61" s="7"/>
      <c r="J61" s="7"/>
      <c r="K61" s="7"/>
      <c r="L61" s="7"/>
      <c r="M61" s="7"/>
      <c r="N61" s="7"/>
      <c r="O61" s="7"/>
      <c r="P61" s="7"/>
      <c r="Q61" s="7"/>
      <c r="R61" s="7"/>
      <c r="S61" s="7"/>
      <c r="T61" s="7"/>
      <c r="U61" s="7"/>
      <c r="V61" s="7"/>
      <c r="W61" s="7"/>
      <c r="X61" s="7"/>
      <c r="Y61" s="7"/>
      <c r="Z61" s="7"/>
    </row>
    <row r="62" ht="14.25" customHeight="1">
      <c r="A62" s="138">
        <v>3.9</v>
      </c>
      <c r="B62" s="7" t="s">
        <v>226</v>
      </c>
      <c r="C62" s="7"/>
      <c r="D62" s="7"/>
      <c r="E62" s="7"/>
      <c r="F62" s="7"/>
      <c r="G62" s="7"/>
      <c r="H62" s="7"/>
      <c r="I62" s="7"/>
      <c r="J62" s="7"/>
      <c r="K62" s="7"/>
      <c r="L62" s="7"/>
      <c r="M62" s="7"/>
      <c r="N62" s="7"/>
      <c r="O62" s="7"/>
      <c r="P62" s="7"/>
      <c r="Q62" s="7"/>
      <c r="R62" s="7"/>
      <c r="S62" s="7"/>
      <c r="T62" s="7"/>
      <c r="U62" s="7"/>
      <c r="V62" s="7"/>
      <c r="W62" s="7"/>
      <c r="X62" s="7"/>
      <c r="Y62" s="7"/>
      <c r="Z62" s="7"/>
    </row>
    <row r="63" ht="14.25" customHeight="1">
      <c r="A63" s="138">
        <v>4.0</v>
      </c>
      <c r="B63" s="7" t="s">
        <v>226</v>
      </c>
      <c r="C63" s="7"/>
      <c r="D63" s="7"/>
      <c r="E63" s="7"/>
      <c r="F63" s="7"/>
      <c r="G63" s="7"/>
      <c r="H63" s="7"/>
      <c r="I63" s="7"/>
      <c r="J63" s="7"/>
      <c r="K63" s="7"/>
      <c r="L63" s="7"/>
      <c r="M63" s="7"/>
      <c r="N63" s="7"/>
      <c r="O63" s="7"/>
      <c r="P63" s="7"/>
      <c r="Q63" s="7"/>
      <c r="R63" s="7"/>
      <c r="S63" s="7"/>
      <c r="T63" s="7"/>
      <c r="U63" s="7"/>
      <c r="V63" s="7"/>
      <c r="W63" s="7"/>
      <c r="X63" s="7"/>
      <c r="Y63" s="7"/>
      <c r="Z63" s="7"/>
    </row>
    <row r="64" ht="14.25" customHeight="1">
      <c r="A64" s="7"/>
      <c r="B64" s="7"/>
      <c r="C64" s="7"/>
      <c r="D64" s="7"/>
      <c r="E64" s="7"/>
      <c r="F64" s="7"/>
      <c r="G64" s="7"/>
      <c r="H64" s="7"/>
      <c r="I64" s="7"/>
      <c r="J64" s="7"/>
      <c r="K64" s="7"/>
      <c r="L64" s="7"/>
      <c r="M64" s="7"/>
      <c r="N64" s="7"/>
      <c r="O64" s="7"/>
      <c r="P64" s="7"/>
      <c r="Q64" s="7"/>
      <c r="R64" s="7"/>
      <c r="S64" s="7"/>
      <c r="T64" s="7"/>
      <c r="U64" s="7"/>
      <c r="V64" s="7"/>
      <c r="W64" s="7"/>
      <c r="X64" s="7"/>
      <c r="Y64" s="7"/>
      <c r="Z64" s="7"/>
    </row>
    <row r="65" ht="14.25" customHeight="1">
      <c r="A65" s="7"/>
      <c r="B65" s="7"/>
      <c r="C65" s="7"/>
      <c r="D65" s="7"/>
      <c r="E65" s="7"/>
      <c r="F65" s="7"/>
      <c r="G65" s="7"/>
      <c r="H65" s="7"/>
      <c r="I65" s="7"/>
      <c r="J65" s="7"/>
      <c r="K65" s="7"/>
      <c r="L65" s="7"/>
      <c r="M65" s="7"/>
      <c r="N65" s="7"/>
      <c r="O65" s="7"/>
      <c r="P65" s="7"/>
      <c r="Q65" s="7"/>
      <c r="R65" s="7"/>
      <c r="S65" s="7"/>
      <c r="T65" s="7"/>
      <c r="U65" s="7"/>
      <c r="V65" s="7"/>
      <c r="W65" s="7"/>
      <c r="X65" s="7"/>
      <c r="Y65" s="7"/>
      <c r="Z65" s="7"/>
    </row>
    <row r="66" ht="14.25" customHeight="1">
      <c r="A66" s="7"/>
      <c r="B66" s="7"/>
      <c r="C66" s="7"/>
      <c r="D66" s="7"/>
      <c r="E66" s="7"/>
      <c r="F66" s="7"/>
      <c r="G66" s="7"/>
      <c r="H66" s="7"/>
      <c r="I66" s="7"/>
      <c r="J66" s="7"/>
      <c r="K66" s="7"/>
      <c r="L66" s="7"/>
      <c r="M66" s="7"/>
      <c r="N66" s="7"/>
      <c r="O66" s="7"/>
      <c r="P66" s="7"/>
      <c r="Q66" s="7"/>
      <c r="R66" s="7"/>
      <c r="S66" s="7"/>
      <c r="T66" s="7"/>
      <c r="U66" s="7"/>
      <c r="V66" s="7"/>
      <c r="W66" s="7"/>
      <c r="X66" s="7"/>
      <c r="Y66" s="7"/>
      <c r="Z66" s="7"/>
    </row>
    <row r="67" ht="14.25" customHeight="1">
      <c r="A67" s="7"/>
      <c r="B67" s="7"/>
      <c r="C67" s="7"/>
      <c r="D67" s="7"/>
      <c r="E67" s="7"/>
      <c r="F67" s="7"/>
      <c r="G67" s="7"/>
      <c r="H67" s="7"/>
      <c r="I67" s="7"/>
      <c r="J67" s="7"/>
      <c r="K67" s="7"/>
      <c r="L67" s="7"/>
      <c r="M67" s="7"/>
      <c r="N67" s="7"/>
      <c r="O67" s="7"/>
      <c r="P67" s="7"/>
      <c r="Q67" s="7"/>
      <c r="R67" s="7"/>
      <c r="S67" s="7"/>
      <c r="T67" s="7"/>
      <c r="U67" s="7"/>
      <c r="V67" s="7"/>
      <c r="W67" s="7"/>
      <c r="X67" s="7"/>
      <c r="Y67" s="7"/>
      <c r="Z67" s="7"/>
    </row>
    <row r="68" ht="14.25" customHeight="1">
      <c r="A68" s="7"/>
      <c r="B68" s="7"/>
      <c r="C68" s="7"/>
      <c r="D68" s="7"/>
      <c r="E68" s="7"/>
      <c r="F68" s="7"/>
      <c r="G68" s="7"/>
      <c r="H68" s="7"/>
      <c r="I68" s="7"/>
      <c r="J68" s="7"/>
      <c r="K68" s="7"/>
      <c r="L68" s="7"/>
      <c r="M68" s="7"/>
      <c r="N68" s="7"/>
      <c r="O68" s="7"/>
      <c r="P68" s="7"/>
      <c r="Q68" s="7"/>
      <c r="R68" s="7"/>
      <c r="S68" s="7"/>
      <c r="T68" s="7"/>
      <c r="U68" s="7"/>
      <c r="V68" s="7"/>
      <c r="W68" s="7"/>
      <c r="X68" s="7"/>
      <c r="Y68" s="7"/>
      <c r="Z68" s="7"/>
    </row>
    <row r="69" ht="14.25" customHeight="1">
      <c r="A69" s="7"/>
      <c r="B69" s="7"/>
      <c r="C69" s="7"/>
      <c r="D69" s="7"/>
      <c r="E69" s="7"/>
      <c r="F69" s="7"/>
      <c r="G69" s="7"/>
      <c r="H69" s="7"/>
      <c r="I69" s="7"/>
      <c r="J69" s="7"/>
      <c r="K69" s="7"/>
      <c r="L69" s="7"/>
      <c r="M69" s="7"/>
      <c r="N69" s="7"/>
      <c r="O69" s="7"/>
      <c r="P69" s="7"/>
      <c r="Q69" s="7"/>
      <c r="R69" s="7"/>
      <c r="S69" s="7"/>
      <c r="T69" s="7"/>
      <c r="U69" s="7"/>
      <c r="V69" s="7"/>
      <c r="W69" s="7"/>
      <c r="X69" s="7"/>
      <c r="Y69" s="7"/>
      <c r="Z69" s="7"/>
    </row>
    <row r="70" ht="14.25" customHeight="1">
      <c r="A70" s="7"/>
      <c r="B70" s="7"/>
      <c r="C70" s="7"/>
      <c r="D70" s="7"/>
      <c r="E70" s="7"/>
      <c r="F70" s="7"/>
      <c r="G70" s="7"/>
      <c r="H70" s="7"/>
      <c r="I70" s="7"/>
      <c r="J70" s="7"/>
      <c r="K70" s="7"/>
      <c r="L70" s="7"/>
      <c r="M70" s="7"/>
      <c r="N70" s="7"/>
      <c r="O70" s="7"/>
      <c r="P70" s="7"/>
      <c r="Q70" s="7"/>
      <c r="R70" s="7"/>
      <c r="S70" s="7"/>
      <c r="T70" s="7"/>
      <c r="U70" s="7"/>
      <c r="V70" s="7"/>
      <c r="W70" s="7"/>
      <c r="X70" s="7"/>
      <c r="Y70" s="7"/>
      <c r="Z70" s="7"/>
    </row>
    <row r="71" ht="14.25" customHeight="1">
      <c r="A71" s="7"/>
      <c r="B71" s="7"/>
      <c r="C71" s="7"/>
      <c r="D71" s="7"/>
      <c r="E71" s="7"/>
      <c r="F71" s="7"/>
      <c r="G71" s="7"/>
      <c r="H71" s="7"/>
      <c r="I71" s="7"/>
      <c r="J71" s="7"/>
      <c r="K71" s="7"/>
      <c r="L71" s="7"/>
      <c r="M71" s="7"/>
      <c r="N71" s="7"/>
      <c r="O71" s="7"/>
      <c r="P71" s="7"/>
      <c r="Q71" s="7"/>
      <c r="R71" s="7"/>
      <c r="S71" s="7"/>
      <c r="T71" s="7"/>
      <c r="U71" s="7"/>
      <c r="V71" s="7"/>
      <c r="W71" s="7"/>
      <c r="X71" s="7"/>
      <c r="Y71" s="7"/>
      <c r="Z71" s="7"/>
    </row>
    <row r="72" ht="14.25" customHeight="1">
      <c r="A72" s="7"/>
      <c r="B72" s="7"/>
      <c r="C72" s="7"/>
      <c r="D72" s="7"/>
      <c r="E72" s="7"/>
      <c r="F72" s="7"/>
      <c r="G72" s="7"/>
      <c r="H72" s="7"/>
      <c r="I72" s="7"/>
      <c r="J72" s="7"/>
      <c r="K72" s="7"/>
      <c r="L72" s="7"/>
      <c r="M72" s="7"/>
      <c r="N72" s="7"/>
      <c r="O72" s="7"/>
      <c r="P72" s="7"/>
      <c r="Q72" s="7"/>
      <c r="R72" s="7"/>
      <c r="S72" s="7"/>
      <c r="T72" s="7"/>
      <c r="U72" s="7"/>
      <c r="V72" s="7"/>
      <c r="W72" s="7"/>
      <c r="X72" s="7"/>
      <c r="Y72" s="7"/>
      <c r="Z72" s="7"/>
    </row>
    <row r="73" ht="14.25" customHeight="1">
      <c r="A73" s="7"/>
      <c r="B73" s="7"/>
      <c r="C73" s="7"/>
      <c r="D73" s="7"/>
      <c r="E73" s="7"/>
      <c r="F73" s="7"/>
      <c r="G73" s="7"/>
      <c r="H73" s="7"/>
      <c r="I73" s="7"/>
      <c r="J73" s="7"/>
      <c r="K73" s="7"/>
      <c r="L73" s="7"/>
      <c r="M73" s="7"/>
      <c r="N73" s="7"/>
      <c r="O73" s="7"/>
      <c r="P73" s="7"/>
      <c r="Q73" s="7"/>
      <c r="R73" s="7"/>
      <c r="S73" s="7"/>
      <c r="T73" s="7"/>
      <c r="U73" s="7"/>
      <c r="V73" s="7"/>
      <c r="W73" s="7"/>
      <c r="X73" s="7"/>
      <c r="Y73" s="7"/>
      <c r="Z73" s="7"/>
    </row>
    <row r="74" ht="14.25" customHeight="1">
      <c r="A74" s="7"/>
      <c r="B74" s="7"/>
      <c r="C74" s="7"/>
      <c r="D74" s="7"/>
      <c r="E74" s="7"/>
      <c r="F74" s="7"/>
      <c r="G74" s="7"/>
      <c r="H74" s="7"/>
      <c r="I74" s="7"/>
      <c r="J74" s="7"/>
      <c r="K74" s="7"/>
      <c r="L74" s="7"/>
      <c r="M74" s="7"/>
      <c r="N74" s="7"/>
      <c r="O74" s="7"/>
      <c r="P74" s="7"/>
      <c r="Q74" s="7"/>
      <c r="R74" s="7"/>
      <c r="S74" s="7"/>
      <c r="T74" s="7"/>
      <c r="U74" s="7"/>
      <c r="V74" s="7"/>
      <c r="W74" s="7"/>
      <c r="X74" s="7"/>
      <c r="Y74" s="7"/>
      <c r="Z74" s="7"/>
    </row>
    <row r="75" ht="14.2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7"/>
      <c r="B76" s="7"/>
      <c r="C76" s="7"/>
      <c r="D76" s="7"/>
      <c r="E76" s="7"/>
      <c r="F76" s="7"/>
      <c r="G76" s="7"/>
      <c r="H76" s="7"/>
      <c r="I76" s="7"/>
      <c r="J76" s="7"/>
      <c r="K76" s="7"/>
      <c r="L76" s="7"/>
      <c r="M76" s="7"/>
      <c r="N76" s="7"/>
      <c r="O76" s="7"/>
      <c r="P76" s="7"/>
      <c r="Q76" s="7"/>
      <c r="R76" s="7"/>
      <c r="S76" s="7"/>
      <c r="T76" s="7"/>
      <c r="U76" s="7"/>
      <c r="V76" s="7"/>
      <c r="W76" s="7"/>
      <c r="X76" s="7"/>
      <c r="Y76" s="7"/>
      <c r="Z76" s="7"/>
    </row>
    <row r="77" ht="14.25" customHeight="1">
      <c r="A77" s="7"/>
      <c r="B77" s="7"/>
      <c r="C77" s="7"/>
      <c r="D77" s="7"/>
      <c r="E77" s="7"/>
      <c r="F77" s="7"/>
      <c r="G77" s="7"/>
      <c r="H77" s="7"/>
      <c r="I77" s="7"/>
      <c r="J77" s="7"/>
      <c r="K77" s="7"/>
      <c r="L77" s="7"/>
      <c r="M77" s="7"/>
      <c r="N77" s="7"/>
      <c r="O77" s="7"/>
      <c r="P77" s="7"/>
      <c r="Q77" s="7"/>
      <c r="R77" s="7"/>
      <c r="S77" s="7"/>
      <c r="T77" s="7"/>
      <c r="U77" s="7"/>
      <c r="V77" s="7"/>
      <c r="W77" s="7"/>
      <c r="X77" s="7"/>
      <c r="Y77" s="7"/>
      <c r="Z77" s="7"/>
    </row>
    <row r="78" ht="14.25" customHeight="1">
      <c r="A78" s="7"/>
      <c r="B78" s="7"/>
      <c r="C78" s="7"/>
      <c r="D78" s="7"/>
      <c r="E78" s="7"/>
      <c r="F78" s="7"/>
      <c r="G78" s="7"/>
      <c r="H78" s="7"/>
      <c r="I78" s="7"/>
      <c r="J78" s="7"/>
      <c r="K78" s="7"/>
      <c r="L78" s="7"/>
      <c r="M78" s="7"/>
      <c r="N78" s="7"/>
      <c r="O78" s="7"/>
      <c r="P78" s="7"/>
      <c r="Q78" s="7"/>
      <c r="R78" s="7"/>
      <c r="S78" s="7"/>
      <c r="T78" s="7"/>
      <c r="U78" s="7"/>
      <c r="V78" s="7"/>
      <c r="W78" s="7"/>
      <c r="X78" s="7"/>
      <c r="Y78" s="7"/>
      <c r="Z78" s="7"/>
    </row>
    <row r="79" ht="14.25" customHeight="1">
      <c r="A79" s="7"/>
      <c r="B79" s="7"/>
      <c r="C79" s="7"/>
      <c r="D79" s="7"/>
      <c r="E79" s="7"/>
      <c r="F79" s="7"/>
      <c r="G79" s="7"/>
      <c r="H79" s="7"/>
      <c r="I79" s="7"/>
      <c r="J79" s="7"/>
      <c r="K79" s="7"/>
      <c r="L79" s="7"/>
      <c r="M79" s="7"/>
      <c r="N79" s="7"/>
      <c r="O79" s="7"/>
      <c r="P79" s="7"/>
      <c r="Q79" s="7"/>
      <c r="R79" s="7"/>
      <c r="S79" s="7"/>
      <c r="T79" s="7"/>
      <c r="U79" s="7"/>
      <c r="V79" s="7"/>
      <c r="W79" s="7"/>
      <c r="X79" s="7"/>
      <c r="Y79" s="7"/>
      <c r="Z79" s="7"/>
    </row>
    <row r="80" ht="14.25" customHeight="1">
      <c r="A80" s="7"/>
      <c r="B80" s="7"/>
      <c r="C80" s="7"/>
      <c r="D80" s="7"/>
      <c r="E80" s="7"/>
      <c r="F80" s="7"/>
      <c r="G80" s="7"/>
      <c r="H80" s="7"/>
      <c r="I80" s="7"/>
      <c r="J80" s="7"/>
      <c r="K80" s="7"/>
      <c r="L80" s="7"/>
      <c r="M80" s="7"/>
      <c r="N80" s="7"/>
      <c r="O80" s="7"/>
      <c r="P80" s="7"/>
      <c r="Q80" s="7"/>
      <c r="R80" s="7"/>
      <c r="S80" s="7"/>
      <c r="T80" s="7"/>
      <c r="U80" s="7"/>
      <c r="V80" s="7"/>
      <c r="W80" s="7"/>
      <c r="X80" s="7"/>
      <c r="Y80" s="7"/>
      <c r="Z80" s="7"/>
    </row>
    <row r="81" ht="14.25" customHeight="1">
      <c r="A81" s="7"/>
      <c r="B81" s="7"/>
      <c r="C81" s="7"/>
      <c r="D81" s="7"/>
      <c r="E81" s="7"/>
      <c r="F81" s="7"/>
      <c r="G81" s="7"/>
      <c r="H81" s="7"/>
      <c r="I81" s="7"/>
      <c r="J81" s="7"/>
      <c r="K81" s="7"/>
      <c r="L81" s="7"/>
      <c r="M81" s="7"/>
      <c r="N81" s="7"/>
      <c r="O81" s="7"/>
      <c r="P81" s="7"/>
      <c r="Q81" s="7"/>
      <c r="R81" s="7"/>
      <c r="S81" s="7"/>
      <c r="T81" s="7"/>
      <c r="U81" s="7"/>
      <c r="V81" s="7"/>
      <c r="W81" s="7"/>
      <c r="X81" s="7"/>
      <c r="Y81" s="7"/>
      <c r="Z81" s="7"/>
    </row>
    <row r="82" ht="14.25" customHeight="1">
      <c r="A82" s="7"/>
      <c r="B82" s="7"/>
      <c r="C82" s="7"/>
      <c r="D82" s="7"/>
      <c r="E82" s="7"/>
      <c r="F82" s="7"/>
      <c r="G82" s="7"/>
      <c r="H82" s="7"/>
      <c r="I82" s="7"/>
      <c r="J82" s="7"/>
      <c r="K82" s="7"/>
      <c r="L82" s="7"/>
      <c r="M82" s="7"/>
      <c r="N82" s="7"/>
      <c r="O82" s="7"/>
      <c r="P82" s="7"/>
      <c r="Q82" s="7"/>
      <c r="R82" s="7"/>
      <c r="S82" s="7"/>
      <c r="T82" s="7"/>
      <c r="U82" s="7"/>
      <c r="V82" s="7"/>
      <c r="W82" s="7"/>
      <c r="X82" s="7"/>
      <c r="Y82" s="7"/>
      <c r="Z82" s="7"/>
    </row>
    <row r="83" ht="14.25" customHeight="1">
      <c r="A83" s="7"/>
      <c r="B83" s="7"/>
      <c r="C83" s="7"/>
      <c r="D83" s="7"/>
      <c r="E83" s="7"/>
      <c r="F83" s="7"/>
      <c r="G83" s="7"/>
      <c r="H83" s="7"/>
      <c r="I83" s="7"/>
      <c r="J83" s="7"/>
      <c r="K83" s="7"/>
      <c r="L83" s="7"/>
      <c r="M83" s="7"/>
      <c r="N83" s="7"/>
      <c r="O83" s="7"/>
      <c r="P83" s="7"/>
      <c r="Q83" s="7"/>
      <c r="R83" s="7"/>
      <c r="S83" s="7"/>
      <c r="T83" s="7"/>
      <c r="U83" s="7"/>
      <c r="V83" s="7"/>
      <c r="W83" s="7"/>
      <c r="X83" s="7"/>
      <c r="Y83" s="7"/>
      <c r="Z83" s="7"/>
    </row>
    <row r="84" ht="14.25" customHeight="1">
      <c r="A84" s="7"/>
      <c r="B84" s="7"/>
      <c r="C84" s="7"/>
      <c r="D84" s="7"/>
      <c r="E84" s="7"/>
      <c r="F84" s="7"/>
      <c r="G84" s="7"/>
      <c r="H84" s="7"/>
      <c r="I84" s="7"/>
      <c r="J84" s="7"/>
      <c r="K84" s="7"/>
      <c r="L84" s="7"/>
      <c r="M84" s="7"/>
      <c r="N84" s="7"/>
      <c r="O84" s="7"/>
      <c r="P84" s="7"/>
      <c r="Q84" s="7"/>
      <c r="R84" s="7"/>
      <c r="S84" s="7"/>
      <c r="T84" s="7"/>
      <c r="U84" s="7"/>
      <c r="V84" s="7"/>
      <c r="W84" s="7"/>
      <c r="X84" s="7"/>
      <c r="Y84" s="7"/>
      <c r="Z84" s="7"/>
    </row>
    <row r="85" ht="14.2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4.2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4.2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4.2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4.2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4.2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4.2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4.2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4.2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4.2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4.2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4.2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4.2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4.2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4.2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4.2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4.2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4.2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4.2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4.2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4.2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4.2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4.2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4.2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12">
    <mergeCell ref="A15:A16"/>
    <mergeCell ref="B15:B16"/>
    <mergeCell ref="A23:A25"/>
    <mergeCell ref="B23:B25"/>
    <mergeCell ref="A31:J31"/>
    <mergeCell ref="A1:J1"/>
    <mergeCell ref="A4:A6"/>
    <mergeCell ref="B4:B6"/>
    <mergeCell ref="A8:A10"/>
    <mergeCell ref="B8:B10"/>
    <mergeCell ref="A12:A13"/>
    <mergeCell ref="B12:B13"/>
  </mergeCell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pageSetUpPr/>
  </sheetPr>
  <sheetViews>
    <sheetView showGridLines="0" workbookViewId="0"/>
  </sheetViews>
  <sheetFormatPr customHeight="1" defaultColWidth="14.43" defaultRowHeight="15.0"/>
  <cols>
    <col customWidth="1" min="1" max="26" width="8.71"/>
  </cols>
  <sheetData>
    <row r="1" ht="31.5" customHeight="1">
      <c r="A1" s="7"/>
      <c r="B1" s="7"/>
      <c r="C1" s="57"/>
      <c r="D1" s="57"/>
      <c r="E1" s="164"/>
      <c r="F1" s="164"/>
      <c r="G1" s="164"/>
      <c r="H1" s="2" t="s">
        <v>74</v>
      </c>
      <c r="N1" s="57"/>
      <c r="O1" s="7"/>
      <c r="P1" s="7"/>
      <c r="Q1" s="7"/>
      <c r="R1" s="7"/>
      <c r="S1" s="7"/>
      <c r="T1" s="7"/>
      <c r="U1" s="7"/>
      <c r="V1" s="7"/>
      <c r="W1" s="7"/>
      <c r="X1" s="7"/>
      <c r="Y1" s="7"/>
      <c r="Z1" s="7"/>
    </row>
    <row r="2" ht="14.25" customHeight="1">
      <c r="A2" s="117"/>
      <c r="B2" s="117"/>
      <c r="C2" s="58"/>
      <c r="D2" s="58"/>
      <c r="E2" s="165"/>
      <c r="F2" s="165"/>
      <c r="G2" s="165"/>
      <c r="N2" s="58"/>
      <c r="O2" s="117"/>
      <c r="P2" s="117"/>
      <c r="Q2" s="117"/>
      <c r="R2" s="117"/>
      <c r="S2" s="117"/>
      <c r="T2" s="117"/>
      <c r="U2" s="117"/>
      <c r="V2" s="117"/>
      <c r="W2" s="117"/>
      <c r="X2" s="117"/>
      <c r="Y2" s="117"/>
      <c r="Z2" s="117"/>
    </row>
    <row r="3" ht="8.25" customHeight="1">
      <c r="A3" s="117"/>
      <c r="B3" s="117"/>
      <c r="C3" s="58"/>
      <c r="D3" s="58"/>
      <c r="E3" s="165"/>
      <c r="F3" s="165"/>
      <c r="G3" s="165"/>
      <c r="H3" s="165"/>
      <c r="I3" s="165"/>
      <c r="J3" s="165"/>
      <c r="K3" s="165"/>
      <c r="L3" s="165"/>
      <c r="M3" s="165"/>
      <c r="N3" s="58"/>
      <c r="O3" s="117"/>
      <c r="P3" s="117"/>
      <c r="Q3" s="117"/>
      <c r="R3" s="117"/>
      <c r="S3" s="117"/>
      <c r="T3" s="117"/>
      <c r="U3" s="117"/>
      <c r="V3" s="117"/>
      <c r="W3" s="117"/>
      <c r="X3" s="117"/>
      <c r="Y3" s="117"/>
      <c r="Z3" s="117"/>
    </row>
    <row r="4" ht="14.25" customHeight="1">
      <c r="A4" s="58"/>
      <c r="B4" s="58"/>
      <c r="C4" s="58"/>
      <c r="D4" s="58"/>
      <c r="E4" s="58"/>
      <c r="F4" s="58"/>
      <c r="G4" s="58"/>
      <c r="H4" s="58"/>
      <c r="I4" s="58"/>
      <c r="J4" s="58"/>
      <c r="K4" s="58"/>
      <c r="L4" s="58"/>
      <c r="M4" s="58"/>
      <c r="N4" s="58"/>
      <c r="O4" s="7"/>
      <c r="P4" s="7"/>
      <c r="Q4" s="7"/>
      <c r="R4" s="7"/>
      <c r="S4" s="7"/>
      <c r="T4" s="7"/>
      <c r="U4" s="7"/>
      <c r="V4" s="7"/>
      <c r="W4" s="7"/>
      <c r="X4" s="7"/>
      <c r="Y4" s="7"/>
      <c r="Z4" s="7"/>
    </row>
    <row r="5" ht="14.25" customHeight="1">
      <c r="A5" s="7"/>
      <c r="B5" s="51" t="s">
        <v>64</v>
      </c>
      <c r="E5" s="8" t="s">
        <v>65</v>
      </c>
      <c r="N5" s="7"/>
      <c r="O5" s="7"/>
      <c r="P5" s="7"/>
      <c r="Q5" s="7"/>
      <c r="R5" s="7"/>
      <c r="S5" s="7"/>
      <c r="T5" s="7"/>
      <c r="U5" s="7"/>
      <c r="V5" s="7"/>
      <c r="W5" s="7"/>
      <c r="X5" s="7"/>
      <c r="Y5" s="7"/>
      <c r="Z5" s="7"/>
    </row>
    <row r="6" ht="14.25" customHeight="1">
      <c r="A6" s="60"/>
      <c r="B6" s="82" t="str">
        <f>'Matrix - Part 5'!I48</f>
        <v>0</v>
      </c>
      <c r="E6" s="83" t="str">
        <f>VLOOKUP('Matrix - Part 5'!I48,'Matrix - Part 5'!A55:B84,2,FALSE)</f>
        <v>#N/A</v>
      </c>
      <c r="F6" s="84"/>
      <c r="G6" s="84"/>
      <c r="H6" s="84"/>
      <c r="I6" s="84"/>
      <c r="J6" s="84"/>
      <c r="K6" s="84"/>
      <c r="L6" s="84"/>
      <c r="M6" s="85"/>
      <c r="N6" s="7"/>
      <c r="O6" s="7"/>
      <c r="P6" s="7"/>
      <c r="Q6" s="7"/>
      <c r="R6" s="7"/>
      <c r="S6" s="7"/>
      <c r="T6" s="7"/>
      <c r="U6" s="7"/>
      <c r="V6" s="7"/>
      <c r="W6" s="7"/>
      <c r="X6" s="7"/>
      <c r="Y6" s="7"/>
      <c r="Z6" s="7"/>
    </row>
    <row r="7" ht="14.25" customHeight="1">
      <c r="A7" s="60"/>
      <c r="E7" s="86"/>
      <c r="M7" s="87"/>
      <c r="N7" s="7"/>
      <c r="O7" s="7"/>
      <c r="P7" s="7"/>
      <c r="Q7" s="7"/>
      <c r="R7" s="7"/>
      <c r="S7" s="7"/>
      <c r="T7" s="7"/>
      <c r="U7" s="7"/>
      <c r="V7" s="7"/>
      <c r="W7" s="7"/>
      <c r="X7" s="7"/>
      <c r="Y7" s="7"/>
      <c r="Z7" s="7"/>
    </row>
    <row r="8" ht="14.25" customHeight="1">
      <c r="A8" s="60"/>
      <c r="E8" s="88"/>
      <c r="F8" s="89"/>
      <c r="G8" s="89"/>
      <c r="H8" s="89"/>
      <c r="I8" s="89"/>
      <c r="J8" s="89"/>
      <c r="K8" s="89"/>
      <c r="L8" s="89"/>
      <c r="M8" s="90"/>
      <c r="N8" s="7"/>
      <c r="O8" s="7"/>
      <c r="P8" s="7"/>
      <c r="Q8" s="7"/>
      <c r="R8" s="7"/>
      <c r="S8" s="7"/>
      <c r="T8" s="7"/>
      <c r="U8" s="7"/>
      <c r="V8" s="7"/>
      <c r="W8" s="7"/>
      <c r="X8" s="7"/>
      <c r="Y8" s="7"/>
      <c r="Z8" s="7"/>
    </row>
    <row r="9" ht="14.25" customHeight="1">
      <c r="A9" s="60"/>
      <c r="B9" s="60"/>
      <c r="C9" s="60"/>
      <c r="D9" s="60"/>
      <c r="E9" s="80"/>
      <c r="F9" s="80"/>
      <c r="G9" s="80"/>
      <c r="H9" s="80"/>
      <c r="I9" s="80"/>
      <c r="J9" s="80"/>
      <c r="K9" s="80"/>
      <c r="L9" s="80"/>
      <c r="M9" s="80"/>
      <c r="N9" s="7"/>
      <c r="O9" s="7"/>
      <c r="P9" s="7"/>
      <c r="Q9" s="7"/>
      <c r="R9" s="7"/>
      <c r="S9" s="7"/>
      <c r="T9" s="7"/>
      <c r="U9" s="7"/>
      <c r="V9" s="7"/>
      <c r="W9" s="7"/>
      <c r="X9" s="7"/>
      <c r="Y9" s="7"/>
      <c r="Z9" s="7"/>
    </row>
    <row r="10" ht="14.25" customHeight="1">
      <c r="A10" s="60"/>
      <c r="B10" s="166" t="s">
        <v>66</v>
      </c>
      <c r="C10" s="14"/>
      <c r="D10" s="14"/>
      <c r="E10" s="15"/>
      <c r="F10" s="167" t="s">
        <v>67</v>
      </c>
      <c r="G10" s="14"/>
      <c r="H10" s="14"/>
      <c r="I10" s="15"/>
      <c r="J10" s="168" t="s">
        <v>68</v>
      </c>
      <c r="K10" s="14"/>
      <c r="L10" s="14"/>
      <c r="M10" s="15"/>
      <c r="N10" s="7"/>
      <c r="O10" s="7"/>
      <c r="P10" s="7"/>
      <c r="Q10" s="7"/>
      <c r="R10" s="7"/>
      <c r="S10" s="7"/>
      <c r="T10" s="7"/>
      <c r="U10" s="7"/>
      <c r="V10" s="7"/>
      <c r="W10" s="7"/>
      <c r="X10" s="7"/>
      <c r="Y10" s="7"/>
      <c r="Z10" s="7"/>
    </row>
    <row r="11" ht="15.0" customHeight="1">
      <c r="A11" s="7"/>
      <c r="B11" s="169" t="str">
        <f>IFERROR(VLOOKUP('Matrix - Part 5'!I19,'Matrix - Part 5'!G23:H23,2,FALSE),"")&amp;CHAR(10)&amp;IFERROR(VLOOKUP('Matrix - Part 5'!I33,'Matrix - Part 5'!G36:H36,2,FALSE),"")</f>
        <v>
</v>
      </c>
      <c r="C11" s="141"/>
      <c r="D11" s="141"/>
      <c r="E11" s="170"/>
      <c r="F11" s="140" t="str">
        <f>IFERROR(VLOOKUP('Matrix - Part 5'!I5,'Matrix - Part 5'!G7:H7,2,FALSE),"")&amp;CHAR(10)&amp;IFERROR(VLOOKUP('Matrix - Part 5'!I9,'Matrix - Part 5'!G12:H12,2,FALSE),"")&amp;CHAR(10)&amp;IFERROR(VLOOKUP('Matrix - Part 5'!I14,'Matrix - Part 5'!G17:H17,2,FALSE),"")&amp;CHAR(10)&amp;IFERROR(VLOOKUP('Matrix - Part 5'!I19,'Matrix - Part 5'!G22:H22,2,FALSE),"")&amp;CHAR(10)&amp;IFERROR(VLOOKUP('Matrix - Part 5'!I25,'Matrix - Part 5'!G27:H27,2,FALSE),"")&amp;CHAR(10)&amp;IFERROR(VLOOKUP('Matrix - Part 5'!I29,'Matrix - Part 5'!G31:H31,2,FALSE),"")&amp;CHAR(10)&amp;IFERROR(VLOOKUP('Matrix - Part 5'!I33,'Matrix - Part 5'!G35:H35,2,FALSE),"")&amp;CHAR(10)&amp;IFERROR(VLOOKUP('Matrix - Part 5'!I38,'Matrix - Part 5'!G41:H41,2,FALSE),"")</f>
        <v>
</v>
      </c>
      <c r="G11" s="141"/>
      <c r="H11" s="141"/>
      <c r="I11" s="142"/>
      <c r="J11" s="140" t="str">
        <f>IFERROR(VLOOKUP('Matrix - Part 5'!I5,'Matrix - Part 5'!G6:H6,2,FALSE),"")&amp;CHAR(10)&amp;IFERROR(VLOOKUP('Matrix - Part 5'!I9,'Matrix - Part 5'!G11:H11,2,FALSE),"")&amp;CHAR(10)&amp;IFERROR(VLOOKUP('Matrix - Part 5'!I14,'Matrix - Part 5'!G16:H16,2,FALSE),"")&amp;CHAR(10)&amp;IFERROR(VLOOKUP('Matrix - Part 5'!I19,'Matrix - Part 5'!G21:H21,2,FALSE),"")&amp;CHAR(10)&amp;IFERROR(VLOOKUP('Matrix - Part 5'!I25,'Matrix - Part 5'!G26:H26,2,FALSE),"")&amp;CHAR(10)&amp;IFERROR(VLOOKUP('Matrix - Part 5'!I29,'Matrix - Part 5'!G30:H30,2,FALSE),"")&amp;CHAR(10)&amp;IFERROR(VLOOKUP('Matrix - Part 5'!I33,'Matrix - Part 5'!G34:H34,2,FALSE),"")&amp;CHAR(10)&amp;IFERROR(VLOOKUP('Matrix - Part 5'!I38,'Matrix - Part 5'!G40:H40,2,FALSE),"")</f>
        <v>
</v>
      </c>
      <c r="K11" s="141"/>
      <c r="L11" s="141"/>
      <c r="M11" s="142"/>
      <c r="N11" s="7"/>
      <c r="O11" s="7"/>
      <c r="P11" s="7"/>
      <c r="Q11" s="7"/>
      <c r="R11" s="7"/>
      <c r="S11" s="7"/>
      <c r="T11" s="7"/>
      <c r="U11" s="7"/>
      <c r="V11" s="7"/>
      <c r="W11" s="7"/>
      <c r="X11" s="7"/>
      <c r="Y11" s="7"/>
      <c r="Z11" s="7"/>
    </row>
    <row r="12" ht="14.25" customHeight="1">
      <c r="A12" s="7"/>
      <c r="B12" s="86"/>
      <c r="E12" s="87"/>
      <c r="F12" s="143"/>
      <c r="I12" s="144"/>
      <c r="J12" s="143"/>
      <c r="M12" s="144"/>
      <c r="N12" s="7"/>
      <c r="O12" s="7"/>
      <c r="P12" s="7"/>
      <c r="Q12" s="7"/>
      <c r="R12" s="7"/>
      <c r="S12" s="7"/>
      <c r="T12" s="7"/>
      <c r="U12" s="7"/>
      <c r="V12" s="7"/>
      <c r="W12" s="7"/>
      <c r="X12" s="7"/>
      <c r="Y12" s="7"/>
      <c r="Z12" s="7"/>
    </row>
    <row r="13" ht="14.25" customHeight="1">
      <c r="A13" s="7"/>
      <c r="B13" s="86"/>
      <c r="E13" s="87"/>
      <c r="F13" s="143"/>
      <c r="I13" s="144"/>
      <c r="J13" s="143"/>
      <c r="M13" s="144"/>
      <c r="N13" s="7"/>
      <c r="O13" s="7"/>
      <c r="P13" s="7"/>
      <c r="Q13" s="7"/>
      <c r="R13" s="7"/>
      <c r="S13" s="7"/>
      <c r="T13" s="7"/>
      <c r="U13" s="7"/>
      <c r="V13" s="7"/>
      <c r="W13" s="7"/>
      <c r="X13" s="7"/>
      <c r="Y13" s="7"/>
      <c r="Z13" s="7"/>
    </row>
    <row r="14" ht="14.25" customHeight="1">
      <c r="A14" s="7"/>
      <c r="B14" s="86"/>
      <c r="E14" s="87"/>
      <c r="F14" s="143"/>
      <c r="I14" s="144"/>
      <c r="J14" s="143"/>
      <c r="M14" s="144"/>
      <c r="N14" s="7"/>
      <c r="O14" s="7"/>
      <c r="P14" s="7"/>
      <c r="Q14" s="7"/>
      <c r="R14" s="7"/>
      <c r="S14" s="7"/>
      <c r="T14" s="7"/>
      <c r="U14" s="7"/>
      <c r="V14" s="7"/>
      <c r="W14" s="7"/>
      <c r="X14" s="7"/>
      <c r="Y14" s="7"/>
      <c r="Z14" s="7"/>
    </row>
    <row r="15" ht="14.25" customHeight="1">
      <c r="A15" s="7"/>
      <c r="B15" s="86"/>
      <c r="E15" s="87"/>
      <c r="F15" s="143"/>
      <c r="I15" s="144"/>
      <c r="J15" s="143"/>
      <c r="M15" s="144"/>
      <c r="N15" s="7"/>
      <c r="O15" s="7"/>
      <c r="P15" s="7"/>
      <c r="Q15" s="7"/>
      <c r="R15" s="7"/>
      <c r="S15" s="7"/>
      <c r="T15" s="7"/>
      <c r="U15" s="7"/>
      <c r="V15" s="7"/>
      <c r="W15" s="7"/>
      <c r="X15" s="7"/>
      <c r="Y15" s="7"/>
      <c r="Z15" s="7"/>
    </row>
    <row r="16" ht="14.25" customHeight="1">
      <c r="A16" s="7"/>
      <c r="B16" s="86"/>
      <c r="E16" s="87"/>
      <c r="F16" s="143"/>
      <c r="I16" s="144"/>
      <c r="J16" s="143"/>
      <c r="M16" s="144"/>
      <c r="N16" s="7"/>
      <c r="O16" s="7"/>
      <c r="P16" s="7"/>
      <c r="Q16" s="7"/>
      <c r="R16" s="7"/>
      <c r="S16" s="7"/>
      <c r="T16" s="7"/>
      <c r="U16" s="7"/>
      <c r="V16" s="7"/>
      <c r="W16" s="7"/>
      <c r="X16" s="7"/>
      <c r="Y16" s="7"/>
      <c r="Z16" s="7"/>
    </row>
    <row r="17" ht="14.25" customHeight="1">
      <c r="A17" s="7"/>
      <c r="B17" s="86"/>
      <c r="E17" s="87"/>
      <c r="F17" s="143"/>
      <c r="I17" s="144"/>
      <c r="J17" s="143"/>
      <c r="M17" s="144"/>
      <c r="N17" s="7"/>
      <c r="O17" s="7"/>
      <c r="P17" s="7"/>
      <c r="Q17" s="7"/>
      <c r="R17" s="7"/>
      <c r="S17" s="7"/>
      <c r="T17" s="7"/>
      <c r="U17" s="7"/>
      <c r="V17" s="7"/>
      <c r="W17" s="7"/>
      <c r="X17" s="7"/>
      <c r="Y17" s="7"/>
      <c r="Z17" s="7"/>
    </row>
    <row r="18" ht="14.25" customHeight="1">
      <c r="A18" s="7"/>
      <c r="B18" s="86"/>
      <c r="E18" s="87"/>
      <c r="F18" s="143"/>
      <c r="I18" s="144"/>
      <c r="J18" s="143"/>
      <c r="M18" s="144"/>
      <c r="N18" s="7"/>
      <c r="O18" s="7"/>
      <c r="P18" s="7"/>
      <c r="Q18" s="7"/>
      <c r="R18" s="7"/>
      <c r="S18" s="7"/>
      <c r="T18" s="7"/>
      <c r="U18" s="7"/>
      <c r="V18" s="7"/>
      <c r="W18" s="7"/>
      <c r="X18" s="7"/>
      <c r="Y18" s="7"/>
      <c r="Z18" s="7"/>
    </row>
    <row r="19" ht="14.25" customHeight="1">
      <c r="A19" s="7"/>
      <c r="B19" s="86"/>
      <c r="E19" s="87"/>
      <c r="F19" s="143"/>
      <c r="I19" s="144"/>
      <c r="J19" s="143"/>
      <c r="M19" s="144"/>
      <c r="N19" s="7"/>
      <c r="O19" s="7"/>
      <c r="P19" s="7"/>
      <c r="Q19" s="7"/>
      <c r="R19" s="7"/>
      <c r="S19" s="7"/>
      <c r="T19" s="7"/>
      <c r="U19" s="7"/>
      <c r="V19" s="7"/>
      <c r="W19" s="7"/>
      <c r="X19" s="7"/>
      <c r="Y19" s="7"/>
      <c r="Z19" s="7"/>
    </row>
    <row r="20" ht="14.25" customHeight="1">
      <c r="A20" s="7"/>
      <c r="B20" s="86"/>
      <c r="E20" s="87"/>
      <c r="F20" s="143"/>
      <c r="I20" s="144"/>
      <c r="J20" s="143"/>
      <c r="M20" s="144"/>
      <c r="N20" s="7"/>
      <c r="O20" s="7"/>
      <c r="P20" s="7"/>
      <c r="Q20" s="7"/>
      <c r="R20" s="7"/>
      <c r="S20" s="7"/>
      <c r="T20" s="7"/>
      <c r="U20" s="7"/>
      <c r="V20" s="7"/>
      <c r="W20" s="7"/>
      <c r="X20" s="7"/>
      <c r="Y20" s="7"/>
      <c r="Z20" s="7"/>
    </row>
    <row r="21" ht="14.25" customHeight="1">
      <c r="A21" s="7"/>
      <c r="B21" s="86"/>
      <c r="E21" s="87"/>
      <c r="F21" s="143"/>
      <c r="I21" s="144"/>
      <c r="J21" s="143"/>
      <c r="M21" s="144"/>
      <c r="N21" s="7"/>
      <c r="O21" s="7"/>
      <c r="P21" s="7"/>
      <c r="Q21" s="7"/>
      <c r="R21" s="7"/>
      <c r="S21" s="7"/>
      <c r="T21" s="7"/>
      <c r="U21" s="7"/>
      <c r="V21" s="7"/>
      <c r="W21" s="7"/>
      <c r="X21" s="7"/>
      <c r="Y21" s="7"/>
      <c r="Z21" s="7"/>
    </row>
    <row r="22" ht="14.25" customHeight="1">
      <c r="A22" s="7"/>
      <c r="B22" s="86"/>
      <c r="E22" s="87"/>
      <c r="F22" s="143"/>
      <c r="I22" s="144"/>
      <c r="J22" s="143"/>
      <c r="M22" s="144"/>
      <c r="N22" s="7"/>
      <c r="O22" s="7"/>
      <c r="P22" s="7"/>
      <c r="Q22" s="7"/>
      <c r="R22" s="7"/>
      <c r="S22" s="7"/>
      <c r="T22" s="7"/>
      <c r="U22" s="7"/>
      <c r="V22" s="7"/>
      <c r="W22" s="7"/>
      <c r="X22" s="7"/>
      <c r="Y22" s="7"/>
      <c r="Z22" s="7"/>
    </row>
    <row r="23" ht="14.25" customHeight="1">
      <c r="A23" s="7"/>
      <c r="B23" s="86"/>
      <c r="E23" s="87"/>
      <c r="F23" s="143"/>
      <c r="I23" s="144"/>
      <c r="J23" s="143"/>
      <c r="M23" s="144"/>
      <c r="N23" s="7"/>
      <c r="O23" s="7"/>
      <c r="P23" s="7"/>
      <c r="Q23" s="7"/>
      <c r="R23" s="7"/>
      <c r="S23" s="7"/>
      <c r="T23" s="7"/>
      <c r="U23" s="7"/>
      <c r="V23" s="7"/>
      <c r="W23" s="7"/>
      <c r="X23" s="7"/>
      <c r="Y23" s="7"/>
      <c r="Z23" s="7"/>
    </row>
    <row r="24" ht="14.25" customHeight="1">
      <c r="A24" s="7"/>
      <c r="B24" s="86"/>
      <c r="E24" s="87"/>
      <c r="F24" s="143"/>
      <c r="I24" s="144"/>
      <c r="J24" s="143"/>
      <c r="M24" s="144"/>
      <c r="N24" s="7"/>
      <c r="O24" s="7"/>
      <c r="P24" s="7"/>
      <c r="Q24" s="7"/>
      <c r="R24" s="7"/>
      <c r="S24" s="7"/>
      <c r="T24" s="7"/>
      <c r="U24" s="7"/>
      <c r="V24" s="7"/>
      <c r="W24" s="7"/>
      <c r="X24" s="7"/>
      <c r="Y24" s="7"/>
      <c r="Z24" s="7"/>
    </row>
    <row r="25" ht="14.25" customHeight="1">
      <c r="A25" s="7"/>
      <c r="B25" s="86"/>
      <c r="E25" s="87"/>
      <c r="F25" s="143"/>
      <c r="I25" s="144"/>
      <c r="J25" s="143"/>
      <c r="M25" s="144"/>
      <c r="N25" s="7"/>
      <c r="O25" s="7"/>
      <c r="P25" s="7"/>
      <c r="Q25" s="7"/>
      <c r="R25" s="7"/>
      <c r="S25" s="7"/>
      <c r="T25" s="7"/>
      <c r="U25" s="7"/>
      <c r="V25" s="7"/>
      <c r="W25" s="7"/>
      <c r="X25" s="7"/>
      <c r="Y25" s="7"/>
      <c r="Z25" s="7"/>
    </row>
    <row r="26" ht="14.25" customHeight="1">
      <c r="A26" s="7"/>
      <c r="B26" s="86"/>
      <c r="E26" s="87"/>
      <c r="F26" s="143"/>
      <c r="I26" s="144"/>
      <c r="J26" s="143"/>
      <c r="M26" s="144"/>
      <c r="N26" s="7"/>
      <c r="O26" s="7"/>
      <c r="P26" s="7"/>
      <c r="Q26" s="7"/>
      <c r="R26" s="7"/>
      <c r="S26" s="7"/>
      <c r="T26" s="7"/>
      <c r="U26" s="7"/>
      <c r="V26" s="7"/>
      <c r="W26" s="7"/>
      <c r="X26" s="7"/>
      <c r="Y26" s="7"/>
      <c r="Z26" s="7"/>
    </row>
    <row r="27" ht="14.25" customHeight="1">
      <c r="A27" s="7"/>
      <c r="B27" s="86"/>
      <c r="E27" s="87"/>
      <c r="F27" s="143"/>
      <c r="I27" s="144"/>
      <c r="J27" s="143"/>
      <c r="M27" s="144"/>
      <c r="N27" s="7"/>
      <c r="O27" s="7"/>
      <c r="P27" s="7"/>
      <c r="Q27" s="7"/>
      <c r="R27" s="7"/>
      <c r="S27" s="7"/>
      <c r="T27" s="7"/>
      <c r="U27" s="7"/>
      <c r="V27" s="7"/>
      <c r="W27" s="7"/>
      <c r="X27" s="7"/>
      <c r="Y27" s="7"/>
      <c r="Z27" s="7"/>
    </row>
    <row r="28" ht="14.25" customHeight="1">
      <c r="A28" s="7"/>
      <c r="B28" s="86"/>
      <c r="E28" s="87"/>
      <c r="F28" s="143"/>
      <c r="I28" s="144"/>
      <c r="J28" s="143"/>
      <c r="M28" s="144"/>
      <c r="N28" s="7"/>
      <c r="O28" s="7"/>
      <c r="P28" s="7"/>
      <c r="Q28" s="7"/>
      <c r="R28" s="7"/>
      <c r="S28" s="7"/>
      <c r="T28" s="7"/>
      <c r="U28" s="7"/>
      <c r="V28" s="7"/>
      <c r="W28" s="7"/>
      <c r="X28" s="7"/>
      <c r="Y28" s="7"/>
      <c r="Z28" s="7"/>
    </row>
    <row r="29" ht="14.25" customHeight="1">
      <c r="A29" s="7"/>
      <c r="B29" s="86"/>
      <c r="E29" s="87"/>
      <c r="F29" s="143"/>
      <c r="I29" s="144"/>
      <c r="J29" s="143"/>
      <c r="M29" s="144"/>
      <c r="N29" s="7"/>
      <c r="O29" s="7"/>
      <c r="P29" s="7"/>
      <c r="Q29" s="7"/>
      <c r="R29" s="7"/>
      <c r="S29" s="7"/>
      <c r="T29" s="7"/>
      <c r="U29" s="7"/>
      <c r="V29" s="7"/>
      <c r="W29" s="7"/>
      <c r="X29" s="7"/>
      <c r="Y29" s="7"/>
      <c r="Z29" s="7"/>
    </row>
    <row r="30" ht="14.25" customHeight="1">
      <c r="A30" s="7"/>
      <c r="B30" s="86"/>
      <c r="E30" s="87"/>
      <c r="F30" s="143"/>
      <c r="I30" s="144"/>
      <c r="J30" s="143"/>
      <c r="M30" s="144"/>
      <c r="N30" s="7"/>
      <c r="O30" s="7"/>
      <c r="P30" s="7"/>
      <c r="Q30" s="7"/>
      <c r="R30" s="7"/>
      <c r="S30" s="7"/>
      <c r="T30" s="7"/>
      <c r="U30" s="7"/>
      <c r="V30" s="7"/>
      <c r="W30" s="7"/>
      <c r="X30" s="7"/>
      <c r="Y30" s="7"/>
      <c r="Z30" s="7"/>
    </row>
    <row r="31" ht="14.25" customHeight="1">
      <c r="A31" s="7"/>
      <c r="B31" s="86"/>
      <c r="E31" s="87"/>
      <c r="F31" s="143"/>
      <c r="I31" s="144"/>
      <c r="J31" s="143"/>
      <c r="M31" s="144"/>
      <c r="N31" s="7"/>
      <c r="O31" s="7"/>
      <c r="P31" s="7"/>
      <c r="Q31" s="7"/>
      <c r="R31" s="7"/>
      <c r="S31" s="7"/>
      <c r="T31" s="7"/>
      <c r="U31" s="7"/>
      <c r="V31" s="7"/>
      <c r="W31" s="7"/>
      <c r="X31" s="7"/>
      <c r="Y31" s="7"/>
      <c r="Z31" s="7"/>
    </row>
    <row r="32" ht="14.25" customHeight="1">
      <c r="A32" s="7"/>
      <c r="B32" s="86"/>
      <c r="E32" s="87"/>
      <c r="F32" s="143"/>
      <c r="I32" s="144"/>
      <c r="J32" s="143"/>
      <c r="M32" s="144"/>
      <c r="N32" s="7"/>
      <c r="O32" s="7"/>
      <c r="P32" s="7"/>
      <c r="Q32" s="7"/>
      <c r="R32" s="7"/>
      <c r="S32" s="7"/>
      <c r="T32" s="7"/>
      <c r="U32" s="7"/>
      <c r="V32" s="7"/>
      <c r="W32" s="7"/>
      <c r="X32" s="7"/>
      <c r="Y32" s="7"/>
      <c r="Z32" s="7"/>
    </row>
    <row r="33" ht="14.25" customHeight="1">
      <c r="A33" s="7"/>
      <c r="B33" s="86"/>
      <c r="E33" s="87"/>
      <c r="F33" s="145"/>
      <c r="G33" s="146"/>
      <c r="H33" s="146"/>
      <c r="I33" s="147"/>
      <c r="J33" s="145"/>
      <c r="K33" s="146"/>
      <c r="L33" s="146"/>
      <c r="M33" s="147"/>
      <c r="N33" s="7"/>
      <c r="O33" s="7"/>
      <c r="P33" s="7"/>
      <c r="Q33" s="7"/>
      <c r="R33" s="7"/>
      <c r="S33" s="7"/>
      <c r="T33" s="7"/>
      <c r="U33" s="7"/>
      <c r="V33" s="7"/>
      <c r="W33" s="7"/>
      <c r="X33" s="7"/>
      <c r="Y33" s="7"/>
      <c r="Z33" s="7"/>
    </row>
    <row r="34" ht="14.25" customHeight="1">
      <c r="A34" s="7"/>
      <c r="B34" s="86"/>
      <c r="E34" s="87"/>
      <c r="F34" s="81"/>
      <c r="G34" s="81"/>
      <c r="H34" s="81"/>
      <c r="I34" s="81"/>
      <c r="J34" s="81"/>
      <c r="K34" s="81"/>
      <c r="L34" s="81"/>
      <c r="M34" s="81"/>
      <c r="N34" s="7"/>
      <c r="O34" s="7"/>
      <c r="P34" s="7"/>
      <c r="Q34" s="7"/>
      <c r="R34" s="7"/>
      <c r="S34" s="7"/>
      <c r="T34" s="7"/>
      <c r="U34" s="7"/>
      <c r="V34" s="7"/>
      <c r="W34" s="7"/>
      <c r="X34" s="7"/>
      <c r="Y34" s="7"/>
      <c r="Z34" s="7"/>
    </row>
    <row r="35" ht="14.25" customHeight="1">
      <c r="A35" s="7"/>
      <c r="B35" s="86"/>
      <c r="E35" s="87"/>
      <c r="F35" s="81"/>
      <c r="G35" s="81"/>
      <c r="H35" s="81"/>
      <c r="I35" s="81"/>
      <c r="J35" s="81"/>
      <c r="K35" s="81"/>
      <c r="L35" s="81"/>
      <c r="M35" s="81"/>
      <c r="N35" s="7"/>
      <c r="O35" s="7"/>
      <c r="P35" s="7"/>
      <c r="Q35" s="7"/>
      <c r="R35" s="7"/>
      <c r="S35" s="7"/>
      <c r="T35" s="7"/>
      <c r="U35" s="7"/>
      <c r="V35" s="7"/>
      <c r="W35" s="7"/>
      <c r="X35" s="7"/>
      <c r="Y35" s="7"/>
      <c r="Z35" s="7"/>
    </row>
    <row r="36" ht="14.25" customHeight="1">
      <c r="A36" s="7"/>
      <c r="B36" s="86"/>
      <c r="E36" s="87"/>
      <c r="F36" s="7"/>
      <c r="G36" s="7"/>
      <c r="H36" s="7"/>
      <c r="I36" s="7"/>
      <c r="J36" s="7"/>
      <c r="K36" s="7"/>
      <c r="L36" s="7"/>
      <c r="M36" s="7"/>
      <c r="N36" s="7"/>
      <c r="O36" s="7"/>
      <c r="P36" s="7"/>
      <c r="Q36" s="7"/>
      <c r="R36" s="7"/>
      <c r="S36" s="7"/>
      <c r="T36" s="7"/>
      <c r="U36" s="7"/>
      <c r="V36" s="7"/>
      <c r="W36" s="7"/>
      <c r="X36" s="7"/>
      <c r="Y36" s="7"/>
      <c r="Z36" s="7"/>
    </row>
    <row r="37" ht="14.25" customHeight="1">
      <c r="A37" s="7"/>
      <c r="B37" s="86"/>
      <c r="E37" s="87"/>
      <c r="F37" s="7"/>
      <c r="G37" s="7"/>
      <c r="H37" s="7"/>
      <c r="I37" s="7"/>
      <c r="J37" s="7"/>
      <c r="K37" s="7"/>
      <c r="L37" s="7"/>
      <c r="M37" s="7"/>
      <c r="N37" s="7"/>
      <c r="O37" s="7"/>
      <c r="P37" s="7"/>
      <c r="Q37" s="7"/>
      <c r="R37" s="7"/>
      <c r="S37" s="7"/>
      <c r="T37" s="7"/>
      <c r="U37" s="7"/>
      <c r="V37" s="7"/>
      <c r="W37" s="7"/>
      <c r="X37" s="7"/>
      <c r="Y37" s="7"/>
      <c r="Z37" s="7"/>
    </row>
    <row r="38" ht="14.25" customHeight="1">
      <c r="A38" s="7"/>
      <c r="B38" s="86"/>
      <c r="E38" s="87"/>
      <c r="F38" s="7"/>
      <c r="G38" s="7"/>
      <c r="H38" s="7"/>
      <c r="I38" s="7"/>
      <c r="J38" s="7"/>
      <c r="K38" s="7"/>
      <c r="L38" s="7"/>
      <c r="M38" s="7"/>
      <c r="N38" s="7"/>
      <c r="O38" s="7"/>
      <c r="P38" s="7"/>
      <c r="Q38" s="7"/>
      <c r="R38" s="7"/>
      <c r="S38" s="7"/>
      <c r="T38" s="7"/>
      <c r="U38" s="7"/>
      <c r="V38" s="7"/>
      <c r="W38" s="7"/>
      <c r="X38" s="7"/>
      <c r="Y38" s="7"/>
      <c r="Z38" s="7"/>
    </row>
    <row r="39" ht="14.25" customHeight="1">
      <c r="A39" s="7"/>
      <c r="B39" s="86"/>
      <c r="E39" s="87"/>
      <c r="F39" s="7"/>
      <c r="G39" s="7"/>
      <c r="H39" s="7"/>
      <c r="I39" s="7"/>
      <c r="J39" s="7"/>
      <c r="K39" s="7"/>
      <c r="L39" s="7"/>
      <c r="M39" s="7"/>
      <c r="N39" s="7"/>
      <c r="O39" s="7"/>
      <c r="P39" s="7"/>
      <c r="Q39" s="7"/>
      <c r="R39" s="7"/>
      <c r="S39" s="7"/>
      <c r="T39" s="7"/>
      <c r="U39" s="7"/>
      <c r="V39" s="7"/>
      <c r="W39" s="7"/>
      <c r="X39" s="7"/>
      <c r="Y39" s="7"/>
      <c r="Z39" s="7"/>
    </row>
    <row r="40" ht="14.25" customHeight="1">
      <c r="A40" s="7"/>
      <c r="B40" s="86"/>
      <c r="E40" s="87"/>
      <c r="F40" s="7"/>
      <c r="G40" s="7"/>
      <c r="H40" s="7"/>
      <c r="I40" s="7"/>
      <c r="J40" s="7"/>
      <c r="K40" s="7"/>
      <c r="L40" s="7"/>
      <c r="M40" s="7"/>
      <c r="N40" s="7"/>
      <c r="O40" s="7"/>
      <c r="P40" s="7"/>
      <c r="Q40" s="7"/>
      <c r="R40" s="7"/>
      <c r="S40" s="7"/>
      <c r="T40" s="7"/>
      <c r="U40" s="7"/>
      <c r="V40" s="7"/>
      <c r="W40" s="7"/>
      <c r="X40" s="7"/>
      <c r="Y40" s="7"/>
      <c r="Z40" s="7"/>
    </row>
    <row r="41" ht="14.25" customHeight="1">
      <c r="A41" s="7"/>
      <c r="B41" s="86"/>
      <c r="E41" s="87"/>
      <c r="F41" s="7"/>
      <c r="G41" s="7"/>
      <c r="H41" s="7"/>
      <c r="I41" s="7"/>
      <c r="J41" s="7"/>
      <c r="K41" s="7"/>
      <c r="L41" s="7"/>
      <c r="M41" s="7"/>
      <c r="N41" s="7"/>
      <c r="O41" s="7"/>
      <c r="P41" s="7"/>
      <c r="Q41" s="7"/>
      <c r="R41" s="7"/>
      <c r="S41" s="7"/>
      <c r="T41" s="7"/>
      <c r="U41" s="7"/>
      <c r="V41" s="7"/>
      <c r="W41" s="7"/>
      <c r="X41" s="7"/>
      <c r="Y41" s="7"/>
      <c r="Z41" s="7"/>
    </row>
    <row r="42" ht="14.25" customHeight="1">
      <c r="A42" s="7"/>
      <c r="B42" s="86"/>
      <c r="E42" s="87"/>
      <c r="F42" s="7"/>
      <c r="G42" s="7"/>
      <c r="H42" s="7"/>
      <c r="I42" s="7"/>
      <c r="J42" s="7"/>
      <c r="K42" s="7"/>
      <c r="L42" s="7"/>
      <c r="M42" s="7"/>
      <c r="N42" s="7"/>
      <c r="O42" s="7"/>
      <c r="P42" s="7"/>
      <c r="Q42" s="7"/>
      <c r="R42" s="7"/>
      <c r="S42" s="7"/>
      <c r="T42" s="7"/>
      <c r="U42" s="7"/>
      <c r="V42" s="7"/>
      <c r="W42" s="7"/>
      <c r="X42" s="7"/>
      <c r="Y42" s="7"/>
      <c r="Z42" s="7"/>
    </row>
    <row r="43" ht="14.25" customHeight="1">
      <c r="A43" s="7"/>
      <c r="B43" s="86"/>
      <c r="E43" s="87"/>
      <c r="F43" s="7"/>
      <c r="G43" s="7"/>
      <c r="H43" s="7"/>
      <c r="I43" s="7"/>
      <c r="J43" s="7"/>
      <c r="K43" s="7"/>
      <c r="L43" s="7"/>
      <c r="M43" s="7"/>
      <c r="N43" s="7"/>
      <c r="O43" s="7"/>
      <c r="P43" s="7"/>
      <c r="Q43" s="7"/>
      <c r="R43" s="7"/>
      <c r="S43" s="7"/>
      <c r="T43" s="7"/>
      <c r="U43" s="7"/>
      <c r="V43" s="7"/>
      <c r="W43" s="7"/>
      <c r="X43" s="7"/>
      <c r="Y43" s="7"/>
      <c r="Z43" s="7"/>
    </row>
    <row r="44" ht="14.25" customHeight="1">
      <c r="A44" s="7"/>
      <c r="B44" s="86"/>
      <c r="E44" s="87"/>
      <c r="F44" s="7"/>
      <c r="G44" s="7"/>
      <c r="H44" s="7"/>
      <c r="I44" s="7"/>
      <c r="J44" s="7"/>
      <c r="K44" s="7"/>
      <c r="L44" s="7"/>
      <c r="M44" s="7"/>
      <c r="N44" s="7"/>
      <c r="O44" s="7"/>
      <c r="P44" s="7"/>
      <c r="Q44" s="7"/>
      <c r="R44" s="7"/>
      <c r="S44" s="7"/>
      <c r="T44" s="7"/>
      <c r="U44" s="7"/>
      <c r="V44" s="7"/>
      <c r="W44" s="7"/>
      <c r="X44" s="7"/>
      <c r="Y44" s="7"/>
      <c r="Z44" s="7"/>
    </row>
    <row r="45" ht="14.25" customHeight="1">
      <c r="A45" s="7"/>
      <c r="B45" s="86"/>
      <c r="E45" s="87"/>
      <c r="F45" s="7"/>
      <c r="G45" s="7"/>
      <c r="H45" s="7"/>
      <c r="I45" s="7"/>
      <c r="J45" s="7"/>
      <c r="K45" s="7"/>
      <c r="L45" s="7"/>
      <c r="M45" s="7"/>
      <c r="N45" s="7"/>
      <c r="O45" s="7"/>
      <c r="P45" s="7"/>
      <c r="Q45" s="7"/>
      <c r="R45" s="7"/>
      <c r="S45" s="7"/>
      <c r="T45" s="7"/>
      <c r="U45" s="7"/>
      <c r="V45" s="7"/>
      <c r="W45" s="7"/>
      <c r="X45" s="7"/>
      <c r="Y45" s="7"/>
      <c r="Z45" s="7"/>
    </row>
    <row r="46" ht="14.25" customHeight="1">
      <c r="A46" s="7"/>
      <c r="B46" s="86"/>
      <c r="E46" s="87"/>
      <c r="F46" s="7"/>
      <c r="G46" s="7"/>
      <c r="H46" s="7"/>
      <c r="I46" s="7"/>
      <c r="J46" s="7"/>
      <c r="K46" s="7"/>
      <c r="L46" s="7"/>
      <c r="M46" s="7"/>
      <c r="N46" s="7"/>
      <c r="O46" s="7"/>
      <c r="P46" s="7"/>
      <c r="Q46" s="7"/>
      <c r="R46" s="7"/>
      <c r="S46" s="7"/>
      <c r="T46" s="7"/>
      <c r="U46" s="7"/>
      <c r="V46" s="7"/>
      <c r="W46" s="7"/>
      <c r="X46" s="7"/>
      <c r="Y46" s="7"/>
      <c r="Z46" s="7"/>
    </row>
    <row r="47" ht="14.25" customHeight="1">
      <c r="A47" s="7"/>
      <c r="B47" s="86"/>
      <c r="E47" s="87"/>
      <c r="F47" s="7"/>
      <c r="G47" s="7"/>
      <c r="H47" s="7"/>
      <c r="I47" s="7"/>
      <c r="J47" s="7"/>
      <c r="K47" s="7"/>
      <c r="L47" s="7"/>
      <c r="M47" s="7"/>
      <c r="N47" s="7"/>
      <c r="O47" s="7"/>
      <c r="P47" s="7"/>
      <c r="Q47" s="7"/>
      <c r="R47" s="7"/>
      <c r="S47" s="7"/>
      <c r="T47" s="7"/>
      <c r="U47" s="7"/>
      <c r="V47" s="7"/>
      <c r="W47" s="7"/>
      <c r="X47" s="7"/>
      <c r="Y47" s="7"/>
      <c r="Z47" s="7"/>
    </row>
    <row r="48" ht="14.25" customHeight="1">
      <c r="A48" s="7"/>
      <c r="B48" s="86"/>
      <c r="E48" s="87"/>
      <c r="F48" s="7"/>
      <c r="G48" s="7"/>
      <c r="H48" s="7"/>
      <c r="I48" s="7"/>
      <c r="J48" s="7"/>
      <c r="K48" s="7"/>
      <c r="L48" s="7"/>
      <c r="M48" s="7"/>
      <c r="N48" s="7"/>
      <c r="O48" s="7"/>
      <c r="P48" s="7"/>
      <c r="Q48" s="7"/>
      <c r="R48" s="7"/>
      <c r="S48" s="7"/>
      <c r="T48" s="7"/>
      <c r="U48" s="7"/>
      <c r="V48" s="7"/>
      <c r="W48" s="7"/>
      <c r="X48" s="7"/>
      <c r="Y48" s="7"/>
      <c r="Z48" s="7"/>
    </row>
    <row r="49" ht="14.25" customHeight="1">
      <c r="A49" s="7"/>
      <c r="B49" s="86"/>
      <c r="E49" s="87"/>
      <c r="F49" s="7"/>
      <c r="G49" s="7"/>
      <c r="H49" s="7"/>
      <c r="I49" s="7"/>
      <c r="J49" s="7"/>
      <c r="K49" s="7"/>
      <c r="L49" s="7"/>
      <c r="M49" s="7"/>
      <c r="N49" s="7"/>
      <c r="O49" s="7"/>
      <c r="P49" s="7"/>
      <c r="Q49" s="7"/>
      <c r="R49" s="7"/>
      <c r="S49" s="7"/>
      <c r="T49" s="7"/>
      <c r="U49" s="7"/>
      <c r="V49" s="7"/>
      <c r="W49" s="7"/>
      <c r="X49" s="7"/>
      <c r="Y49" s="7"/>
      <c r="Z49" s="7"/>
    </row>
    <row r="50" ht="14.25" customHeight="1">
      <c r="A50" s="7"/>
      <c r="B50" s="86"/>
      <c r="E50" s="87"/>
      <c r="F50" s="7"/>
      <c r="G50" s="7"/>
      <c r="H50" s="7"/>
      <c r="I50" s="7"/>
      <c r="J50" s="7"/>
      <c r="K50" s="7"/>
      <c r="L50" s="7"/>
      <c r="M50" s="7"/>
      <c r="N50" s="7"/>
      <c r="O50" s="7"/>
      <c r="P50" s="7"/>
      <c r="Q50" s="7"/>
      <c r="R50" s="7"/>
      <c r="S50" s="7"/>
      <c r="T50" s="7"/>
      <c r="U50" s="7"/>
      <c r="V50" s="7"/>
      <c r="W50" s="7"/>
      <c r="X50" s="7"/>
      <c r="Y50" s="7"/>
      <c r="Z50" s="7"/>
    </row>
    <row r="51" ht="14.25" customHeight="1">
      <c r="A51" s="7"/>
      <c r="B51" s="86"/>
      <c r="E51" s="87"/>
      <c r="F51" s="7"/>
      <c r="G51" s="7"/>
      <c r="H51" s="7"/>
      <c r="I51" s="7"/>
      <c r="J51" s="7"/>
      <c r="K51" s="7"/>
      <c r="L51" s="7"/>
      <c r="M51" s="7"/>
      <c r="N51" s="7"/>
      <c r="O51" s="7"/>
      <c r="P51" s="7"/>
      <c r="Q51" s="7"/>
      <c r="R51" s="7"/>
      <c r="S51" s="7"/>
      <c r="T51" s="7"/>
      <c r="U51" s="7"/>
      <c r="V51" s="7"/>
      <c r="W51" s="7"/>
      <c r="X51" s="7"/>
      <c r="Y51" s="7"/>
      <c r="Z51" s="7"/>
    </row>
    <row r="52" ht="14.25" customHeight="1">
      <c r="A52" s="7"/>
      <c r="B52" s="86"/>
      <c r="E52" s="87"/>
      <c r="F52" s="7"/>
      <c r="G52" s="7"/>
      <c r="H52" s="7"/>
      <c r="I52" s="7"/>
      <c r="J52" s="7"/>
      <c r="K52" s="7"/>
      <c r="L52" s="7"/>
      <c r="M52" s="7"/>
      <c r="N52" s="7"/>
      <c r="O52" s="7"/>
      <c r="P52" s="7"/>
      <c r="Q52" s="7"/>
      <c r="R52" s="7"/>
      <c r="S52" s="7"/>
      <c r="T52" s="7"/>
      <c r="U52" s="7"/>
      <c r="V52" s="7"/>
      <c r="W52" s="7"/>
      <c r="X52" s="7"/>
      <c r="Y52" s="7"/>
      <c r="Z52" s="7"/>
    </row>
    <row r="53" ht="14.25" customHeight="1">
      <c r="A53" s="7"/>
      <c r="B53" s="86"/>
      <c r="E53" s="87"/>
      <c r="F53" s="7"/>
      <c r="G53" s="7"/>
      <c r="H53" s="7"/>
      <c r="I53" s="7"/>
      <c r="J53" s="7"/>
      <c r="K53" s="7"/>
      <c r="L53" s="7"/>
      <c r="M53" s="7"/>
      <c r="N53" s="7"/>
      <c r="O53" s="7"/>
      <c r="P53" s="7"/>
      <c r="Q53" s="7"/>
      <c r="R53" s="7"/>
      <c r="S53" s="7"/>
      <c r="T53" s="7"/>
      <c r="U53" s="7"/>
      <c r="V53" s="7"/>
      <c r="W53" s="7"/>
      <c r="X53" s="7"/>
      <c r="Y53" s="7"/>
      <c r="Z53" s="7"/>
    </row>
    <row r="54" ht="14.25" customHeight="1">
      <c r="A54" s="7"/>
      <c r="B54" s="86"/>
      <c r="E54" s="87"/>
      <c r="F54" s="7"/>
      <c r="G54" s="7"/>
      <c r="H54" s="7"/>
      <c r="I54" s="7"/>
      <c r="J54" s="7"/>
      <c r="K54" s="7"/>
      <c r="L54" s="7"/>
      <c r="M54" s="7"/>
      <c r="N54" s="7"/>
      <c r="O54" s="7"/>
      <c r="P54" s="7"/>
      <c r="Q54" s="7"/>
      <c r="R54" s="7"/>
      <c r="S54" s="7"/>
      <c r="T54" s="7"/>
      <c r="U54" s="7"/>
      <c r="V54" s="7"/>
      <c r="W54" s="7"/>
      <c r="X54" s="7"/>
      <c r="Y54" s="7"/>
      <c r="Z54" s="7"/>
    </row>
    <row r="55" ht="14.25" customHeight="1">
      <c r="A55" s="7"/>
      <c r="B55" s="86"/>
      <c r="E55" s="87"/>
      <c r="F55" s="7"/>
      <c r="G55" s="7"/>
      <c r="H55" s="7"/>
      <c r="I55" s="7"/>
      <c r="J55" s="7"/>
      <c r="K55" s="7"/>
      <c r="L55" s="7"/>
      <c r="M55" s="7"/>
      <c r="N55" s="7"/>
      <c r="O55" s="7"/>
      <c r="P55" s="7"/>
      <c r="Q55" s="7"/>
      <c r="R55" s="7"/>
      <c r="S55" s="7"/>
      <c r="T55" s="7"/>
      <c r="U55" s="7"/>
      <c r="V55" s="7"/>
      <c r="W55" s="7"/>
      <c r="X55" s="7"/>
      <c r="Y55" s="7"/>
      <c r="Z55" s="7"/>
    </row>
    <row r="56" ht="14.25" customHeight="1">
      <c r="A56" s="7"/>
      <c r="B56" s="86"/>
      <c r="E56" s="87"/>
      <c r="F56" s="7"/>
      <c r="G56" s="7"/>
      <c r="H56" s="7"/>
      <c r="I56" s="7"/>
      <c r="J56" s="7"/>
      <c r="K56" s="7"/>
      <c r="L56" s="7"/>
      <c r="M56" s="7"/>
      <c r="N56" s="7"/>
      <c r="O56" s="7"/>
      <c r="P56" s="7"/>
      <c r="Q56" s="7"/>
      <c r="R56" s="7"/>
      <c r="S56" s="7"/>
      <c r="T56" s="7"/>
      <c r="U56" s="7"/>
      <c r="V56" s="7"/>
      <c r="W56" s="7"/>
      <c r="X56" s="7"/>
      <c r="Y56" s="7"/>
      <c r="Z56" s="7"/>
    </row>
    <row r="57" ht="14.25" customHeight="1">
      <c r="A57" s="7"/>
      <c r="B57" s="86"/>
      <c r="E57" s="87"/>
      <c r="F57" s="7"/>
      <c r="G57" s="7"/>
      <c r="H57" s="7"/>
      <c r="I57" s="7"/>
      <c r="J57" s="7"/>
      <c r="K57" s="7"/>
      <c r="L57" s="7"/>
      <c r="M57" s="7"/>
      <c r="N57" s="7"/>
      <c r="O57" s="7"/>
      <c r="P57" s="7"/>
      <c r="Q57" s="7"/>
      <c r="R57" s="7"/>
      <c r="S57" s="7"/>
      <c r="T57" s="7"/>
      <c r="U57" s="7"/>
      <c r="V57" s="7"/>
      <c r="W57" s="7"/>
      <c r="X57" s="7"/>
      <c r="Y57" s="7"/>
      <c r="Z57" s="7"/>
    </row>
    <row r="58" ht="14.25" customHeight="1">
      <c r="A58" s="7"/>
      <c r="B58" s="86"/>
      <c r="E58" s="87"/>
      <c r="F58" s="7"/>
      <c r="G58" s="7"/>
      <c r="H58" s="7"/>
      <c r="I58" s="7"/>
      <c r="J58" s="7"/>
      <c r="K58" s="7"/>
      <c r="L58" s="7"/>
      <c r="M58" s="7"/>
      <c r="N58" s="7"/>
      <c r="O58" s="7"/>
      <c r="P58" s="7"/>
      <c r="Q58" s="7"/>
      <c r="R58" s="7"/>
      <c r="S58" s="7"/>
      <c r="T58" s="7"/>
      <c r="U58" s="7"/>
      <c r="V58" s="7"/>
      <c r="W58" s="7"/>
      <c r="X58" s="7"/>
      <c r="Y58" s="7"/>
      <c r="Z58" s="7"/>
    </row>
    <row r="59" ht="14.25" customHeight="1">
      <c r="A59" s="7"/>
      <c r="B59" s="86"/>
      <c r="E59" s="87"/>
      <c r="F59" s="7"/>
      <c r="G59" s="7"/>
      <c r="H59" s="7"/>
      <c r="I59" s="7"/>
      <c r="J59" s="7"/>
      <c r="K59" s="7"/>
      <c r="L59" s="7"/>
      <c r="M59" s="7"/>
      <c r="N59" s="7"/>
      <c r="O59" s="7"/>
      <c r="P59" s="7"/>
      <c r="Q59" s="7"/>
      <c r="R59" s="7"/>
      <c r="S59" s="7"/>
      <c r="T59" s="7"/>
      <c r="U59" s="7"/>
      <c r="V59" s="7"/>
      <c r="W59" s="7"/>
      <c r="X59" s="7"/>
      <c r="Y59" s="7"/>
      <c r="Z59" s="7"/>
    </row>
    <row r="60" ht="14.25" customHeight="1">
      <c r="A60" s="7"/>
      <c r="B60" s="86"/>
      <c r="E60" s="87"/>
      <c r="F60" s="7"/>
      <c r="G60" s="7"/>
      <c r="H60" s="7"/>
      <c r="I60" s="7"/>
      <c r="J60" s="7"/>
      <c r="K60" s="7"/>
      <c r="L60" s="7"/>
      <c r="M60" s="7"/>
      <c r="N60" s="7"/>
      <c r="O60" s="7"/>
      <c r="P60" s="7"/>
      <c r="Q60" s="7"/>
      <c r="R60" s="7"/>
      <c r="S60" s="7"/>
      <c r="T60" s="7"/>
      <c r="U60" s="7"/>
      <c r="V60" s="7"/>
      <c r="W60" s="7"/>
      <c r="X60" s="7"/>
      <c r="Y60" s="7"/>
      <c r="Z60" s="7"/>
    </row>
    <row r="61" ht="14.25" customHeight="1">
      <c r="A61" s="7"/>
      <c r="B61" s="86"/>
      <c r="E61" s="87"/>
      <c r="F61" s="7"/>
      <c r="G61" s="7"/>
      <c r="H61" s="7"/>
      <c r="I61" s="7"/>
      <c r="J61" s="7"/>
      <c r="K61" s="7"/>
      <c r="L61" s="7"/>
      <c r="M61" s="7"/>
      <c r="N61" s="7"/>
      <c r="O61" s="7"/>
      <c r="P61" s="7"/>
      <c r="Q61" s="7"/>
      <c r="R61" s="7"/>
      <c r="S61" s="7"/>
      <c r="T61" s="7"/>
      <c r="U61" s="7"/>
      <c r="V61" s="7"/>
      <c r="W61" s="7"/>
      <c r="X61" s="7"/>
      <c r="Y61" s="7"/>
      <c r="Z61" s="7"/>
    </row>
    <row r="62" ht="14.25" customHeight="1">
      <c r="A62" s="7"/>
      <c r="B62" s="86"/>
      <c r="E62" s="87"/>
      <c r="F62" s="7"/>
      <c r="G62" s="7"/>
      <c r="H62" s="7"/>
      <c r="I62" s="7"/>
      <c r="J62" s="7"/>
      <c r="K62" s="7"/>
      <c r="L62" s="7"/>
      <c r="M62" s="7"/>
      <c r="N62" s="7"/>
      <c r="O62" s="7"/>
      <c r="P62" s="7"/>
      <c r="Q62" s="7"/>
      <c r="R62" s="7"/>
      <c r="S62" s="7"/>
      <c r="T62" s="7"/>
      <c r="U62" s="7"/>
      <c r="V62" s="7"/>
      <c r="W62" s="7"/>
      <c r="X62" s="7"/>
      <c r="Y62" s="7"/>
      <c r="Z62" s="7"/>
    </row>
    <row r="63" ht="14.25" customHeight="1">
      <c r="A63" s="7"/>
      <c r="B63" s="86"/>
      <c r="E63" s="87"/>
      <c r="F63" s="7"/>
      <c r="G63" s="7"/>
      <c r="H63" s="7"/>
      <c r="I63" s="7"/>
      <c r="J63" s="7"/>
      <c r="K63" s="7"/>
      <c r="L63" s="7"/>
      <c r="M63" s="7"/>
      <c r="N63" s="7"/>
      <c r="O63" s="7"/>
      <c r="P63" s="7"/>
      <c r="Q63" s="7"/>
      <c r="R63" s="7"/>
      <c r="S63" s="7"/>
      <c r="T63" s="7"/>
      <c r="U63" s="7"/>
      <c r="V63" s="7"/>
      <c r="W63" s="7"/>
      <c r="X63" s="7"/>
      <c r="Y63" s="7"/>
      <c r="Z63" s="7"/>
    </row>
    <row r="64" ht="14.25" customHeight="1">
      <c r="A64" s="7"/>
      <c r="B64" s="86"/>
      <c r="E64" s="87"/>
      <c r="F64" s="7"/>
      <c r="G64" s="7"/>
      <c r="H64" s="7"/>
      <c r="I64" s="7"/>
      <c r="J64" s="7"/>
      <c r="K64" s="7"/>
      <c r="L64" s="7"/>
      <c r="M64" s="7"/>
      <c r="N64" s="7"/>
      <c r="O64" s="7"/>
      <c r="P64" s="7"/>
      <c r="Q64" s="7"/>
      <c r="R64" s="7"/>
      <c r="S64" s="7"/>
      <c r="T64" s="7"/>
      <c r="U64" s="7"/>
      <c r="V64" s="7"/>
      <c r="W64" s="7"/>
      <c r="X64" s="7"/>
      <c r="Y64" s="7"/>
      <c r="Z64" s="7"/>
    </row>
    <row r="65" ht="14.25" customHeight="1">
      <c r="A65" s="7"/>
      <c r="B65" s="86"/>
      <c r="E65" s="87"/>
      <c r="F65" s="7"/>
      <c r="G65" s="7"/>
      <c r="H65" s="7"/>
      <c r="I65" s="7"/>
      <c r="J65" s="7"/>
      <c r="K65" s="7"/>
      <c r="L65" s="7"/>
      <c r="M65" s="7"/>
      <c r="N65" s="7"/>
      <c r="O65" s="7"/>
      <c r="P65" s="7"/>
      <c r="Q65" s="7"/>
      <c r="R65" s="7"/>
      <c r="S65" s="7"/>
      <c r="T65" s="7"/>
      <c r="U65" s="7"/>
      <c r="V65" s="7"/>
      <c r="W65" s="7"/>
      <c r="X65" s="7"/>
      <c r="Y65" s="7"/>
      <c r="Z65" s="7"/>
    </row>
    <row r="66" ht="14.25" customHeight="1">
      <c r="A66" s="7"/>
      <c r="B66" s="86"/>
      <c r="E66" s="87"/>
      <c r="F66" s="7"/>
      <c r="G66" s="7"/>
      <c r="H66" s="7"/>
      <c r="I66" s="7"/>
      <c r="J66" s="7"/>
      <c r="K66" s="7"/>
      <c r="L66" s="7"/>
      <c r="M66" s="7"/>
      <c r="N66" s="7"/>
      <c r="O66" s="7"/>
      <c r="P66" s="7"/>
      <c r="Q66" s="7"/>
      <c r="R66" s="7"/>
      <c r="S66" s="7"/>
      <c r="T66" s="7"/>
      <c r="U66" s="7"/>
      <c r="V66" s="7"/>
      <c r="W66" s="7"/>
      <c r="X66" s="7"/>
      <c r="Y66" s="7"/>
      <c r="Z66" s="7"/>
    </row>
    <row r="67" ht="14.25" customHeight="1">
      <c r="A67" s="7"/>
      <c r="B67" s="86"/>
      <c r="E67" s="87"/>
      <c r="F67" s="7"/>
      <c r="G67" s="7"/>
      <c r="H67" s="7"/>
      <c r="I67" s="7"/>
      <c r="J67" s="7"/>
      <c r="K67" s="7"/>
      <c r="L67" s="7"/>
      <c r="M67" s="7"/>
      <c r="N67" s="7"/>
      <c r="O67" s="7"/>
      <c r="P67" s="7"/>
      <c r="Q67" s="7"/>
      <c r="R67" s="7"/>
      <c r="S67" s="7"/>
      <c r="T67" s="7"/>
      <c r="U67" s="7"/>
      <c r="V67" s="7"/>
      <c r="W67" s="7"/>
      <c r="X67" s="7"/>
      <c r="Y67" s="7"/>
      <c r="Z67" s="7"/>
    </row>
    <row r="68" ht="14.25" customHeight="1">
      <c r="A68" s="7"/>
      <c r="B68" s="86"/>
      <c r="E68" s="87"/>
      <c r="F68" s="7"/>
      <c r="G68" s="7"/>
      <c r="H68" s="7"/>
      <c r="I68" s="7"/>
      <c r="J68" s="7"/>
      <c r="K68" s="7"/>
      <c r="L68" s="7"/>
      <c r="M68" s="7"/>
      <c r="N68" s="7"/>
      <c r="O68" s="7"/>
      <c r="P68" s="7"/>
      <c r="Q68" s="7"/>
      <c r="R68" s="7"/>
      <c r="S68" s="7"/>
      <c r="T68" s="7"/>
      <c r="U68" s="7"/>
      <c r="V68" s="7"/>
      <c r="W68" s="7"/>
      <c r="X68" s="7"/>
      <c r="Y68" s="7"/>
      <c r="Z68" s="7"/>
    </row>
    <row r="69" ht="14.25" customHeight="1">
      <c r="A69" s="7"/>
      <c r="B69" s="86"/>
      <c r="E69" s="87"/>
      <c r="F69" s="7"/>
      <c r="G69" s="7"/>
      <c r="H69" s="7"/>
      <c r="I69" s="7"/>
      <c r="J69" s="7"/>
      <c r="K69" s="7"/>
      <c r="L69" s="7"/>
      <c r="M69" s="7"/>
      <c r="N69" s="7"/>
      <c r="O69" s="7"/>
      <c r="P69" s="7"/>
      <c r="Q69" s="7"/>
      <c r="R69" s="7"/>
      <c r="S69" s="7"/>
      <c r="T69" s="7"/>
      <c r="U69" s="7"/>
      <c r="V69" s="7"/>
      <c r="W69" s="7"/>
      <c r="X69" s="7"/>
      <c r="Y69" s="7"/>
      <c r="Z69" s="7"/>
    </row>
    <row r="70" ht="14.25" customHeight="1">
      <c r="A70" s="7"/>
      <c r="B70" s="86"/>
      <c r="E70" s="87"/>
      <c r="F70" s="7"/>
      <c r="G70" s="7"/>
      <c r="H70" s="7"/>
      <c r="I70" s="7"/>
      <c r="J70" s="7"/>
      <c r="K70" s="7"/>
      <c r="L70" s="7"/>
      <c r="M70" s="7"/>
      <c r="N70" s="7"/>
      <c r="O70" s="7"/>
      <c r="P70" s="7"/>
      <c r="Q70" s="7"/>
      <c r="R70" s="7"/>
      <c r="S70" s="7"/>
      <c r="T70" s="7"/>
      <c r="U70" s="7"/>
      <c r="V70" s="7"/>
      <c r="W70" s="7"/>
      <c r="X70" s="7"/>
      <c r="Y70" s="7"/>
      <c r="Z70" s="7"/>
    </row>
    <row r="71" ht="14.25" customHeight="1">
      <c r="A71" s="7"/>
      <c r="B71" s="86"/>
      <c r="E71" s="87"/>
      <c r="F71" s="7"/>
      <c r="G71" s="7"/>
      <c r="H71" s="7"/>
      <c r="I71" s="7"/>
      <c r="J71" s="7"/>
      <c r="K71" s="7"/>
      <c r="L71" s="7"/>
      <c r="M71" s="7"/>
      <c r="N71" s="7"/>
      <c r="O71" s="7"/>
      <c r="P71" s="7"/>
      <c r="Q71" s="7"/>
      <c r="R71" s="7"/>
      <c r="S71" s="7"/>
      <c r="T71" s="7"/>
      <c r="U71" s="7"/>
      <c r="V71" s="7"/>
      <c r="W71" s="7"/>
      <c r="X71" s="7"/>
      <c r="Y71" s="7"/>
      <c r="Z71" s="7"/>
    </row>
    <row r="72" ht="14.25" customHeight="1">
      <c r="A72" s="7"/>
      <c r="B72" s="88"/>
      <c r="C72" s="89"/>
      <c r="D72" s="89"/>
      <c r="E72" s="90"/>
      <c r="F72" s="7"/>
      <c r="G72" s="7"/>
      <c r="H72" s="7"/>
      <c r="I72" s="7"/>
      <c r="J72" s="7"/>
      <c r="K72" s="7"/>
      <c r="L72" s="7"/>
      <c r="M72" s="7"/>
      <c r="N72" s="7"/>
      <c r="O72" s="7"/>
      <c r="P72" s="7"/>
      <c r="Q72" s="7"/>
      <c r="R72" s="7"/>
      <c r="S72" s="7"/>
      <c r="T72" s="7"/>
      <c r="U72" s="7"/>
      <c r="V72" s="7"/>
      <c r="W72" s="7"/>
      <c r="X72" s="7"/>
      <c r="Y72" s="7"/>
      <c r="Z72" s="7"/>
    </row>
    <row r="73" ht="14.25" customHeight="1">
      <c r="A73" s="7"/>
      <c r="B73" s="7"/>
      <c r="C73" s="7"/>
      <c r="D73" s="7"/>
      <c r="E73" s="7"/>
      <c r="F73" s="7"/>
      <c r="G73" s="7"/>
      <c r="H73" s="7"/>
      <c r="I73" s="7"/>
      <c r="J73" s="7"/>
      <c r="K73" s="7"/>
      <c r="L73" s="7"/>
      <c r="M73" s="7"/>
      <c r="N73" s="7"/>
      <c r="O73" s="7"/>
      <c r="P73" s="7"/>
      <c r="Q73" s="7"/>
      <c r="R73" s="7"/>
      <c r="S73" s="7"/>
      <c r="T73" s="7"/>
      <c r="U73" s="7"/>
      <c r="V73" s="7"/>
      <c r="W73" s="7"/>
      <c r="X73" s="7"/>
      <c r="Y73" s="7"/>
      <c r="Z73" s="7"/>
    </row>
    <row r="74" ht="14.25" customHeight="1">
      <c r="A74" s="7"/>
      <c r="B74" s="7"/>
      <c r="C74" s="7"/>
      <c r="D74" s="7"/>
      <c r="E74" s="7"/>
      <c r="F74" s="7"/>
      <c r="G74" s="7"/>
      <c r="H74" s="7"/>
      <c r="I74" s="7"/>
      <c r="J74" s="7"/>
      <c r="K74" s="7"/>
      <c r="L74" s="7"/>
      <c r="M74" s="7"/>
      <c r="N74" s="7"/>
      <c r="O74" s="7"/>
      <c r="P74" s="7"/>
      <c r="Q74" s="7"/>
      <c r="R74" s="7"/>
      <c r="S74" s="7"/>
      <c r="T74" s="7"/>
      <c r="U74" s="7"/>
      <c r="V74" s="7"/>
      <c r="W74" s="7"/>
      <c r="X74" s="7"/>
      <c r="Y74" s="7"/>
      <c r="Z74" s="7"/>
    </row>
    <row r="75" ht="14.2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4.25" customHeight="1">
      <c r="A76" s="7"/>
      <c r="B76" s="7"/>
      <c r="C76" s="7"/>
      <c r="D76" s="7"/>
      <c r="E76" s="7"/>
      <c r="F76" s="7"/>
      <c r="G76" s="7"/>
      <c r="H76" s="7"/>
      <c r="I76" s="7"/>
      <c r="J76" s="7"/>
      <c r="K76" s="7"/>
      <c r="L76" s="7"/>
      <c r="M76" s="7"/>
      <c r="N76" s="7"/>
      <c r="O76" s="7"/>
      <c r="P76" s="7"/>
      <c r="Q76" s="7"/>
      <c r="R76" s="7"/>
      <c r="S76" s="7"/>
      <c r="T76" s="7"/>
      <c r="U76" s="7"/>
      <c r="V76" s="7"/>
      <c r="W76" s="7"/>
      <c r="X76" s="7"/>
      <c r="Y76" s="7"/>
      <c r="Z76" s="7"/>
    </row>
    <row r="77" ht="14.25" customHeight="1">
      <c r="A77" s="7"/>
      <c r="B77" s="7"/>
      <c r="C77" s="7"/>
      <c r="D77" s="7"/>
      <c r="E77" s="7"/>
      <c r="F77" s="7"/>
      <c r="G77" s="7"/>
      <c r="H77" s="7"/>
      <c r="I77" s="7"/>
      <c r="J77" s="7"/>
      <c r="K77" s="7"/>
      <c r="L77" s="7"/>
      <c r="M77" s="7"/>
      <c r="N77" s="7"/>
      <c r="O77" s="7"/>
      <c r="P77" s="7"/>
      <c r="Q77" s="7"/>
      <c r="R77" s="7"/>
      <c r="S77" s="7"/>
      <c r="T77" s="7"/>
      <c r="U77" s="7"/>
      <c r="V77" s="7"/>
      <c r="W77" s="7"/>
      <c r="X77" s="7"/>
      <c r="Y77" s="7"/>
      <c r="Z77" s="7"/>
    </row>
    <row r="78" ht="14.25" customHeight="1">
      <c r="A78" s="7"/>
      <c r="B78" s="7"/>
      <c r="C78" s="7"/>
      <c r="D78" s="7"/>
      <c r="E78" s="7"/>
      <c r="F78" s="7"/>
      <c r="G78" s="7"/>
      <c r="H78" s="7"/>
      <c r="I78" s="7"/>
      <c r="J78" s="7"/>
      <c r="K78" s="7"/>
      <c r="L78" s="7"/>
      <c r="M78" s="7"/>
      <c r="N78" s="7"/>
      <c r="O78" s="7"/>
      <c r="P78" s="7"/>
      <c r="Q78" s="7"/>
      <c r="R78" s="7"/>
      <c r="S78" s="7"/>
      <c r="T78" s="7"/>
      <c r="U78" s="7"/>
      <c r="V78" s="7"/>
      <c r="W78" s="7"/>
      <c r="X78" s="7"/>
      <c r="Y78" s="7"/>
      <c r="Z78" s="7"/>
    </row>
    <row r="79" ht="14.25" customHeight="1">
      <c r="A79" s="7"/>
      <c r="B79" s="7"/>
      <c r="C79" s="7"/>
      <c r="D79" s="7"/>
      <c r="E79" s="7"/>
      <c r="F79" s="7"/>
      <c r="G79" s="7"/>
      <c r="H79" s="7"/>
      <c r="I79" s="7"/>
      <c r="J79" s="7"/>
      <c r="K79" s="7"/>
      <c r="L79" s="7"/>
      <c r="M79" s="7"/>
      <c r="N79" s="7"/>
      <c r="O79" s="7"/>
      <c r="P79" s="7"/>
      <c r="Q79" s="7"/>
      <c r="R79" s="7"/>
      <c r="S79" s="7"/>
      <c r="T79" s="7"/>
      <c r="U79" s="7"/>
      <c r="V79" s="7"/>
      <c r="W79" s="7"/>
      <c r="X79" s="7"/>
      <c r="Y79" s="7"/>
      <c r="Z79" s="7"/>
    </row>
    <row r="80" ht="14.25" customHeight="1">
      <c r="A80" s="7"/>
      <c r="B80" s="7"/>
      <c r="C80" s="7"/>
      <c r="D80" s="7"/>
      <c r="E80" s="7"/>
      <c r="F80" s="7"/>
      <c r="G80" s="7"/>
      <c r="H80" s="7"/>
      <c r="I80" s="7"/>
      <c r="J80" s="7"/>
      <c r="K80" s="7"/>
      <c r="L80" s="7"/>
      <c r="M80" s="7"/>
      <c r="N80" s="7"/>
      <c r="O80" s="7"/>
      <c r="P80" s="7"/>
      <c r="Q80" s="7"/>
      <c r="R80" s="7"/>
      <c r="S80" s="7"/>
      <c r="T80" s="7"/>
      <c r="U80" s="7"/>
      <c r="V80" s="7"/>
      <c r="W80" s="7"/>
      <c r="X80" s="7"/>
      <c r="Y80" s="7"/>
      <c r="Z80" s="7"/>
    </row>
    <row r="81" ht="14.25" customHeight="1">
      <c r="A81" s="7"/>
      <c r="B81" s="7"/>
      <c r="C81" s="7"/>
      <c r="D81" s="7"/>
      <c r="E81" s="7"/>
      <c r="F81" s="7"/>
      <c r="G81" s="7"/>
      <c r="H81" s="7"/>
      <c r="I81" s="7"/>
      <c r="J81" s="7"/>
      <c r="K81" s="7"/>
      <c r="L81" s="7"/>
      <c r="M81" s="7"/>
      <c r="N81" s="7"/>
      <c r="O81" s="7"/>
      <c r="P81" s="7"/>
      <c r="Q81" s="7"/>
      <c r="R81" s="7"/>
      <c r="S81" s="7"/>
      <c r="T81" s="7"/>
      <c r="U81" s="7"/>
      <c r="V81" s="7"/>
      <c r="W81" s="7"/>
      <c r="X81" s="7"/>
      <c r="Y81" s="7"/>
      <c r="Z81" s="7"/>
    </row>
    <row r="82" ht="14.25" customHeight="1">
      <c r="A82" s="7"/>
      <c r="B82" s="7"/>
      <c r="C82" s="7"/>
      <c r="D82" s="7"/>
      <c r="E82" s="7"/>
      <c r="F82" s="7"/>
      <c r="G82" s="7"/>
      <c r="H82" s="7"/>
      <c r="I82" s="7"/>
      <c r="J82" s="7"/>
      <c r="K82" s="7"/>
      <c r="L82" s="7"/>
      <c r="M82" s="7"/>
      <c r="N82" s="7"/>
      <c r="O82" s="7"/>
      <c r="P82" s="7"/>
      <c r="Q82" s="7"/>
      <c r="R82" s="7"/>
      <c r="S82" s="7"/>
      <c r="T82" s="7"/>
      <c r="U82" s="7"/>
      <c r="V82" s="7"/>
      <c r="W82" s="7"/>
      <c r="X82" s="7"/>
      <c r="Y82" s="7"/>
      <c r="Z82" s="7"/>
    </row>
    <row r="83" ht="14.25" customHeight="1">
      <c r="A83" s="7"/>
      <c r="B83" s="7"/>
      <c r="C83" s="7"/>
      <c r="D83" s="7"/>
      <c r="E83" s="7"/>
      <c r="F83" s="7"/>
      <c r="G83" s="7"/>
      <c r="H83" s="7"/>
      <c r="I83" s="7"/>
      <c r="J83" s="7"/>
      <c r="K83" s="7"/>
      <c r="L83" s="7"/>
      <c r="M83" s="7"/>
      <c r="N83" s="7"/>
      <c r="O83" s="7"/>
      <c r="P83" s="7"/>
      <c r="Q83" s="7"/>
      <c r="R83" s="7"/>
      <c r="S83" s="7"/>
      <c r="T83" s="7"/>
      <c r="U83" s="7"/>
      <c r="V83" s="7"/>
      <c r="W83" s="7"/>
      <c r="X83" s="7"/>
      <c r="Y83" s="7"/>
      <c r="Z83" s="7"/>
    </row>
    <row r="84" ht="14.25" customHeight="1">
      <c r="A84" s="7"/>
      <c r="B84" s="7"/>
      <c r="C84" s="7"/>
      <c r="D84" s="7"/>
      <c r="E84" s="7"/>
      <c r="F84" s="7"/>
      <c r="G84" s="7"/>
      <c r="H84" s="7"/>
      <c r="I84" s="7"/>
      <c r="J84" s="7"/>
      <c r="K84" s="7"/>
      <c r="L84" s="7"/>
      <c r="M84" s="7"/>
      <c r="N84" s="7"/>
      <c r="O84" s="7"/>
      <c r="P84" s="7"/>
      <c r="Q84" s="7"/>
      <c r="R84" s="7"/>
      <c r="S84" s="7"/>
      <c r="T84" s="7"/>
      <c r="U84" s="7"/>
      <c r="V84" s="7"/>
      <c r="W84" s="7"/>
      <c r="X84" s="7"/>
      <c r="Y84" s="7"/>
      <c r="Z84" s="7"/>
    </row>
    <row r="85" ht="14.2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4.2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4.2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4.2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4.2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4.2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4.2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4.2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4.2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4.2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4.2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4.2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4.2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4.2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4.2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4.2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4.2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4.2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4.2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4.2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4.2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4.2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4.2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4.2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4.2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4.2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4.2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4.2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11">
    <mergeCell ref="B10:E10"/>
    <mergeCell ref="B11:E72"/>
    <mergeCell ref="F11:I33"/>
    <mergeCell ref="J11:M33"/>
    <mergeCell ref="H1:M2"/>
    <mergeCell ref="B5:D5"/>
    <mergeCell ref="E5:M5"/>
    <mergeCell ref="B6:D8"/>
    <mergeCell ref="E6:M8"/>
    <mergeCell ref="F10:I10"/>
    <mergeCell ref="J10:M10"/>
  </mergeCells>
  <conditionalFormatting sqref="B6">
    <cfRule type="cellIs" dxfId="0" priority="1" operator="greaterThan">
      <formula>3.5</formula>
    </cfRule>
  </conditionalFormatting>
  <conditionalFormatting sqref="B6">
    <cfRule type="cellIs" dxfId="4" priority="2" operator="between">
      <formula>2.4</formula>
      <formula>3.4</formula>
    </cfRule>
  </conditionalFormatting>
  <conditionalFormatting sqref="B6">
    <cfRule type="cellIs" dxfId="5" priority="3" operator="between">
      <formula>1.5</formula>
      <formula>2.3</formula>
    </cfRule>
  </conditionalFormatting>
  <conditionalFormatting sqref="B6">
    <cfRule type="cellIs" dxfId="6" priority="4" operator="lessThanOrEqual">
      <formula>1.4</formula>
    </cfRule>
  </conditionalFormatting>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pageSetUpPr/>
  </sheetPr>
  <sheetViews>
    <sheetView showGridLines="0" workbookViewId="0"/>
  </sheetViews>
  <sheetFormatPr customHeight="1" defaultColWidth="14.43" defaultRowHeight="15.0"/>
  <cols>
    <col customWidth="1" min="1" max="26" width="8.71"/>
  </cols>
  <sheetData>
    <row r="1" ht="14.25" customHeight="1">
      <c r="A1" s="7"/>
      <c r="B1" s="107" t="s">
        <v>525</v>
      </c>
      <c r="F1" s="7"/>
      <c r="G1" s="7"/>
      <c r="H1" s="7"/>
      <c r="I1" s="7"/>
      <c r="J1" s="7"/>
      <c r="K1" s="7"/>
      <c r="L1" s="7"/>
      <c r="M1" s="7"/>
      <c r="N1" s="7"/>
      <c r="O1" s="7"/>
      <c r="P1" s="7"/>
      <c r="Q1" s="7"/>
      <c r="R1" s="7"/>
      <c r="S1" s="7"/>
      <c r="T1" s="7"/>
      <c r="U1" s="7"/>
      <c r="V1" s="7"/>
      <c r="W1" s="7"/>
      <c r="X1" s="7"/>
      <c r="Y1" s="7"/>
      <c r="Z1" s="7"/>
    </row>
    <row r="2" ht="14.25" customHeight="1"/>
    <row r="3" ht="14.25" customHeight="1">
      <c r="B3" s="55" t="s">
        <v>526</v>
      </c>
    </row>
    <row r="4" ht="14.25" customHeight="1"/>
    <row r="5" ht="14.25" customHeight="1"/>
    <row r="6" ht="14.25" customHeight="1"/>
    <row r="7" ht="14.25" customHeight="1">
      <c r="B7" s="56" t="str">
        <f>VLOOKUP('Report - Part 2'!C5,'Matrix - Part 2'!A33:B62,2,FALSE)</f>
        <v>#N/A</v>
      </c>
    </row>
    <row r="8" ht="14.25" customHeight="1"/>
    <row r="9" ht="14.25" customHeight="1"/>
    <row r="10" ht="14.25" customHeight="1">
      <c r="B10" s="107" t="s">
        <v>527</v>
      </c>
    </row>
    <row r="11" ht="192.75" customHeight="1">
      <c r="B11" s="116" t="str">
        <f>'Matrix - Part 2'!J4&amp;CHAR(10)&amp;CHAR(10)&amp;'Matrix - Part 2'!J9&amp;CHAR(10)&amp;CHAR(10)&amp;'Matrix - Part 2'!#REF!&amp;CHAR(10)&amp;CHAR(10)&amp;'Matrix - Part 2'!#REF!&amp;CHAR(10)&amp;CHAR(10)&amp;'Matrix - Part 2'!J22</f>
        <v>#ERROR!</v>
      </c>
      <c r="F11" s="55"/>
    </row>
    <row r="12" ht="14.25" customHeight="1"/>
    <row r="13" ht="14.25" customHeight="1">
      <c r="B13" s="7"/>
    </row>
    <row r="14" ht="14.25" customHeight="1"/>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6">
    <mergeCell ref="B1:E1"/>
    <mergeCell ref="B3:E3"/>
    <mergeCell ref="B7:E8"/>
    <mergeCell ref="B10:E10"/>
    <mergeCell ref="B11:E11"/>
    <mergeCell ref="F11:L1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2021-05-27T19:54:13Z</dcterms:created>
  <dc:creator>Smith, Liam</dc:creator>
</cp:coreProperties>
</file>